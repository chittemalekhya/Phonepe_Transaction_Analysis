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b125e88e11dddb9/Desktop/POWERBI/"/>
    </mc:Choice>
  </mc:AlternateContent>
  <xr:revisionPtr revIDLastSave="7" documentId="8_{EE0DE43C-7176-425C-B40E-8BB03645C046}" xr6:coauthVersionLast="47" xr6:coauthVersionMax="47" xr10:uidLastSave="{6A55CA1E-D8EB-4EA6-9BE2-AAFF14C3535C}"/>
  <bookViews>
    <workbookView xWindow="-108" yWindow="-108" windowWidth="23256" windowHeight="12456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2" i="1"/>
  <c r="M166" i="1"/>
  <c r="A15" i="1"/>
  <c r="M15" i="1" s="1"/>
  <c r="A231" i="1"/>
  <c r="M231" i="1" s="1"/>
  <c r="A301" i="1"/>
  <c r="M301" i="1" s="1"/>
  <c r="A533" i="1"/>
  <c r="M533" i="1" s="1"/>
  <c r="A604" i="1"/>
  <c r="M604" i="1" s="1"/>
  <c r="D3" i="1" a="1"/>
  <c r="D3" i="1" s="1"/>
  <c r="A2" i="1" s="1"/>
  <c r="M3" i="1" s="1"/>
  <c r="D4" i="1" a="1"/>
  <c r="D4" i="1" s="1"/>
  <c r="A4" i="1" s="1"/>
  <c r="M4" i="1" s="1"/>
  <c r="D5" i="1" a="1"/>
  <c r="D5" i="1" s="1"/>
  <c r="A5" i="1" s="1"/>
  <c r="M5" i="1" s="1"/>
  <c r="D6" i="1" a="1"/>
  <c r="D6" i="1" s="1"/>
  <c r="A6" i="1" s="1"/>
  <c r="M6" i="1" s="1"/>
  <c r="D7" i="1" a="1"/>
  <c r="D7" i="1" s="1"/>
  <c r="A7" i="1" s="1"/>
  <c r="M7" i="1" s="1"/>
  <c r="D8" i="1" a="1"/>
  <c r="D8" i="1" s="1"/>
  <c r="A8" i="1" s="1"/>
  <c r="M8" i="1" s="1"/>
  <c r="D9" i="1" a="1"/>
  <c r="D9" i="1" s="1"/>
  <c r="A9" i="1" s="1"/>
  <c r="M9" i="1" s="1"/>
  <c r="D10" i="1" a="1"/>
  <c r="D10" i="1" s="1"/>
  <c r="A10" i="1" s="1"/>
  <c r="M10" i="1" s="1"/>
  <c r="D11" i="1" a="1"/>
  <c r="D11" i="1"/>
  <c r="A11" i="1" s="1"/>
  <c r="M11" i="1" s="1"/>
  <c r="D12" i="1" a="1"/>
  <c r="D12" i="1"/>
  <c r="A12" i="1" s="1"/>
  <c r="M12" i="1" s="1"/>
  <c r="D13" i="1" a="1"/>
  <c r="D13" i="1" s="1"/>
  <c r="A13" i="1" s="1"/>
  <c r="M13" i="1" s="1"/>
  <c r="D14" i="1" a="1"/>
  <c r="D14" i="1" s="1"/>
  <c r="A14" i="1" s="1"/>
  <c r="M14" i="1" s="1"/>
  <c r="D15" i="1" a="1"/>
  <c r="D15" i="1" s="1"/>
  <c r="D16" i="1" a="1"/>
  <c r="D16" i="1" s="1"/>
  <c r="A16" i="1" s="1"/>
  <c r="M16" i="1" s="1"/>
  <c r="D17" i="1" a="1"/>
  <c r="D17" i="1" s="1"/>
  <c r="A17" i="1" s="1"/>
  <c r="M17" i="1" s="1"/>
  <c r="D18" i="1" a="1"/>
  <c r="D18" i="1" s="1"/>
  <c r="A18" i="1" s="1"/>
  <c r="M18" i="1" s="1"/>
  <c r="D19" i="1" a="1"/>
  <c r="D19" i="1"/>
  <c r="A19" i="1" s="1"/>
  <c r="M19" i="1" s="1"/>
  <c r="D20" i="1" a="1"/>
  <c r="D20" i="1"/>
  <c r="A20" i="1" s="1"/>
  <c r="M20" i="1" s="1"/>
  <c r="D21" i="1" a="1"/>
  <c r="D21" i="1" s="1"/>
  <c r="A21" i="1" s="1"/>
  <c r="M21" i="1" s="1"/>
  <c r="D22" i="1" a="1"/>
  <c r="D22" i="1" s="1"/>
  <c r="A22" i="1" s="1"/>
  <c r="M22" i="1" s="1"/>
  <c r="D23" i="1" a="1"/>
  <c r="D23" i="1" s="1"/>
  <c r="A23" i="1" s="1"/>
  <c r="M23" i="1" s="1"/>
  <c r="D24" i="1" a="1"/>
  <c r="D24" i="1" s="1"/>
  <c r="A24" i="1" s="1"/>
  <c r="M24" i="1" s="1"/>
  <c r="D25" i="1" a="1"/>
  <c r="D25" i="1" s="1"/>
  <c r="A25" i="1" s="1"/>
  <c r="M25" i="1" s="1"/>
  <c r="D26" i="1" a="1"/>
  <c r="D26" i="1" s="1"/>
  <c r="A26" i="1" s="1"/>
  <c r="M26" i="1" s="1"/>
  <c r="D27" i="1" a="1"/>
  <c r="D27" i="1" s="1"/>
  <c r="A27" i="1" s="1"/>
  <c r="M27" i="1" s="1"/>
  <c r="D28" i="1" a="1"/>
  <c r="D28" i="1" s="1"/>
  <c r="A28" i="1" s="1"/>
  <c r="M28" i="1" s="1"/>
  <c r="D29" i="1" a="1"/>
  <c r="D29" i="1"/>
  <c r="A29" i="1" s="1"/>
  <c r="M29" i="1" s="1"/>
  <c r="D30" i="1" a="1"/>
  <c r="D30" i="1"/>
  <c r="A30" i="1" s="1"/>
  <c r="M30" i="1" s="1"/>
  <c r="D31" i="1" a="1"/>
  <c r="D31" i="1" s="1"/>
  <c r="A31" i="1" s="1"/>
  <c r="M31" i="1" s="1"/>
  <c r="D32" i="1" a="1"/>
  <c r="D32" i="1" s="1"/>
  <c r="A32" i="1" s="1"/>
  <c r="M32" i="1" s="1"/>
  <c r="D33" i="1" a="1"/>
  <c r="D33" i="1" s="1"/>
  <c r="A33" i="1" s="1"/>
  <c r="M33" i="1" s="1"/>
  <c r="D34" i="1" a="1"/>
  <c r="D34" i="1" s="1"/>
  <c r="A34" i="1" s="1"/>
  <c r="M34" i="1" s="1"/>
  <c r="D35" i="1" a="1"/>
  <c r="D35" i="1" s="1"/>
  <c r="A35" i="1" s="1"/>
  <c r="M35" i="1" s="1"/>
  <c r="D36" i="1" a="1"/>
  <c r="D36" i="1"/>
  <c r="A36" i="1" s="1"/>
  <c r="M36" i="1" s="1"/>
  <c r="D37" i="1" a="1"/>
  <c r="D37" i="1" s="1"/>
  <c r="A37" i="1" s="1"/>
  <c r="M37" i="1" s="1"/>
  <c r="D38" i="1" a="1"/>
  <c r="D38" i="1" s="1"/>
  <c r="A38" i="1" s="1"/>
  <c r="M38" i="1" s="1"/>
  <c r="D39" i="1" a="1"/>
  <c r="D39" i="1" s="1"/>
  <c r="A39" i="1" s="1"/>
  <c r="M39" i="1" s="1"/>
  <c r="D40" i="1" a="1"/>
  <c r="D40" i="1" s="1"/>
  <c r="A40" i="1" s="1"/>
  <c r="M40" i="1" s="1"/>
  <c r="D41" i="1" a="1"/>
  <c r="D41" i="1" s="1"/>
  <c r="A41" i="1" s="1"/>
  <c r="M41" i="1" s="1"/>
  <c r="D42" i="1" a="1"/>
  <c r="D42" i="1"/>
  <c r="A42" i="1" s="1"/>
  <c r="M42" i="1" s="1"/>
  <c r="D43" i="1" a="1"/>
  <c r="D43" i="1" s="1"/>
  <c r="A43" i="1" s="1"/>
  <c r="M43" i="1" s="1"/>
  <c r="D44" i="1" a="1"/>
  <c r="D44" i="1" s="1"/>
  <c r="A44" i="1" s="1"/>
  <c r="M44" i="1" s="1"/>
  <c r="D45" i="1" a="1"/>
  <c r="D45" i="1" s="1"/>
  <c r="A45" i="1" s="1"/>
  <c r="M45" i="1" s="1"/>
  <c r="D46" i="1" a="1"/>
  <c r="D46" i="1" s="1"/>
  <c r="A46" i="1" s="1"/>
  <c r="M46" i="1" s="1"/>
  <c r="D47" i="1" a="1"/>
  <c r="D47" i="1" s="1"/>
  <c r="A47" i="1" s="1"/>
  <c r="M47" i="1" s="1"/>
  <c r="D48" i="1" a="1"/>
  <c r="D48" i="1"/>
  <c r="A48" i="1" s="1"/>
  <c r="M48" i="1" s="1"/>
  <c r="D49" i="1" a="1"/>
  <c r="D49" i="1" s="1"/>
  <c r="A49" i="1" s="1"/>
  <c r="M49" i="1" s="1"/>
  <c r="D50" i="1" a="1"/>
  <c r="D50" i="1" s="1"/>
  <c r="A50" i="1" s="1"/>
  <c r="M50" i="1" s="1"/>
  <c r="D51" i="1" a="1"/>
  <c r="D51" i="1" s="1"/>
  <c r="A51" i="1" s="1"/>
  <c r="M51" i="1" s="1"/>
  <c r="D52" i="1" a="1"/>
  <c r="D52" i="1" s="1"/>
  <c r="A52" i="1" s="1"/>
  <c r="M52" i="1" s="1"/>
  <c r="D53" i="1" a="1"/>
  <c r="D53" i="1" s="1"/>
  <c r="A53" i="1" s="1"/>
  <c r="M53" i="1" s="1"/>
  <c r="D54" i="1" a="1"/>
  <c r="D54" i="1" s="1"/>
  <c r="A54" i="1" s="1"/>
  <c r="M54" i="1" s="1"/>
  <c r="D55" i="1" a="1"/>
  <c r="D55" i="1" s="1"/>
  <c r="A55" i="1" s="1"/>
  <c r="M55" i="1" s="1"/>
  <c r="D56" i="1" a="1"/>
  <c r="D56" i="1" s="1"/>
  <c r="A56" i="1" s="1"/>
  <c r="M56" i="1" s="1"/>
  <c r="D57" i="1" a="1"/>
  <c r="D57" i="1" s="1"/>
  <c r="A57" i="1" s="1"/>
  <c r="M57" i="1" s="1"/>
  <c r="D58" i="1" a="1"/>
  <c r="D58" i="1" s="1"/>
  <c r="A58" i="1" s="1"/>
  <c r="M58" i="1" s="1"/>
  <c r="D59" i="1" a="1"/>
  <c r="D59" i="1" s="1"/>
  <c r="A59" i="1" s="1"/>
  <c r="M59" i="1" s="1"/>
  <c r="D60" i="1" a="1"/>
  <c r="D60" i="1" s="1"/>
  <c r="A60" i="1" s="1"/>
  <c r="M60" i="1" s="1"/>
  <c r="D61" i="1" a="1"/>
  <c r="D61" i="1" s="1"/>
  <c r="A61" i="1" s="1"/>
  <c r="M61" i="1" s="1"/>
  <c r="D62" i="1" a="1"/>
  <c r="D62" i="1"/>
  <c r="A62" i="1" s="1"/>
  <c r="M62" i="1" s="1"/>
  <c r="D63" i="1" a="1"/>
  <c r="D63" i="1" s="1"/>
  <c r="A63" i="1" s="1"/>
  <c r="M63" i="1" s="1"/>
  <c r="D64" i="1" a="1"/>
  <c r="D64" i="1" s="1"/>
  <c r="A64" i="1" s="1"/>
  <c r="M64" i="1" s="1"/>
  <c r="D65" i="1" a="1"/>
  <c r="D65" i="1"/>
  <c r="A65" i="1" s="1"/>
  <c r="M65" i="1" s="1"/>
  <c r="D66" i="1" a="1"/>
  <c r="D66" i="1" s="1"/>
  <c r="A66" i="1" s="1"/>
  <c r="M66" i="1" s="1"/>
  <c r="D67" i="1" a="1"/>
  <c r="D67" i="1" s="1"/>
  <c r="A67" i="1" s="1"/>
  <c r="M67" i="1" s="1"/>
  <c r="D68" i="1" a="1"/>
  <c r="D68" i="1" s="1"/>
  <c r="A68" i="1" s="1"/>
  <c r="M68" i="1" s="1"/>
  <c r="D69" i="1" a="1"/>
  <c r="D69" i="1" s="1"/>
  <c r="A69" i="1" s="1"/>
  <c r="M69" i="1" s="1"/>
  <c r="D70" i="1" a="1"/>
  <c r="D70" i="1" s="1"/>
  <c r="A70" i="1" s="1"/>
  <c r="M70" i="1" s="1"/>
  <c r="D71" i="1" a="1"/>
  <c r="D71" i="1" s="1"/>
  <c r="A71" i="1" s="1"/>
  <c r="M71" i="1" s="1"/>
  <c r="D72" i="1" a="1"/>
  <c r="D72" i="1" s="1"/>
  <c r="A72" i="1" s="1"/>
  <c r="M72" i="1" s="1"/>
  <c r="D73" i="1" a="1"/>
  <c r="D73" i="1"/>
  <c r="A73" i="1" s="1"/>
  <c r="M73" i="1" s="1"/>
  <c r="D74" i="1" a="1"/>
  <c r="D74" i="1"/>
  <c r="A74" i="1" s="1"/>
  <c r="M74" i="1" s="1"/>
  <c r="D75" i="1" a="1"/>
  <c r="D75" i="1" s="1"/>
  <c r="A75" i="1" s="1"/>
  <c r="M75" i="1" s="1"/>
  <c r="D76" i="1" a="1"/>
  <c r="D76" i="1" s="1"/>
  <c r="A76" i="1" s="1"/>
  <c r="M76" i="1" s="1"/>
  <c r="D77" i="1" a="1"/>
  <c r="D77" i="1" s="1"/>
  <c r="A77" i="1" s="1"/>
  <c r="M77" i="1" s="1"/>
  <c r="D78" i="1" a="1"/>
  <c r="D78" i="1" s="1"/>
  <c r="A78" i="1" s="1"/>
  <c r="M78" i="1" s="1"/>
  <c r="D79" i="1" a="1"/>
  <c r="D79" i="1" s="1"/>
  <c r="A79" i="1" s="1"/>
  <c r="M79" i="1" s="1"/>
  <c r="D80" i="1" a="1"/>
  <c r="D80" i="1"/>
  <c r="A80" i="1" s="1"/>
  <c r="M80" i="1" s="1"/>
  <c r="D81" i="1" a="1"/>
  <c r="D81" i="1" s="1"/>
  <c r="A81" i="1" s="1"/>
  <c r="M81" i="1" s="1"/>
  <c r="D82" i="1" a="1"/>
  <c r="D82" i="1" s="1"/>
  <c r="A82" i="1" s="1"/>
  <c r="M82" i="1" s="1"/>
  <c r="D83" i="1" a="1"/>
  <c r="D83" i="1" s="1"/>
  <c r="A83" i="1" s="1"/>
  <c r="M83" i="1" s="1"/>
  <c r="D84" i="1" a="1"/>
  <c r="D84" i="1"/>
  <c r="A84" i="1" s="1"/>
  <c r="M84" i="1" s="1"/>
  <c r="D85" i="1" a="1"/>
  <c r="D85" i="1" s="1"/>
  <c r="A85" i="1" s="1"/>
  <c r="M85" i="1" s="1"/>
  <c r="D86" i="1" a="1"/>
  <c r="D86" i="1"/>
  <c r="A86" i="1" s="1"/>
  <c r="M86" i="1" s="1"/>
  <c r="D87" i="1" a="1"/>
  <c r="D87" i="1" s="1"/>
  <c r="A87" i="1" s="1"/>
  <c r="M87" i="1" s="1"/>
  <c r="D88" i="1" a="1"/>
  <c r="D88" i="1" s="1"/>
  <c r="A88" i="1" s="1"/>
  <c r="M88" i="1" s="1"/>
  <c r="D89" i="1" a="1"/>
  <c r="D89" i="1" s="1"/>
  <c r="A89" i="1" s="1"/>
  <c r="M89" i="1" s="1"/>
  <c r="D90" i="1" a="1"/>
  <c r="D90" i="1" s="1"/>
  <c r="A90" i="1" s="1"/>
  <c r="M90" i="1" s="1"/>
  <c r="D91" i="1" a="1"/>
  <c r="D91" i="1"/>
  <c r="A91" i="1" s="1"/>
  <c r="M91" i="1" s="1"/>
  <c r="D92" i="1" a="1"/>
  <c r="D92" i="1" s="1"/>
  <c r="A92" i="1" s="1"/>
  <c r="M92" i="1" s="1"/>
  <c r="D93" i="1" a="1"/>
  <c r="D93" i="1" s="1"/>
  <c r="A93" i="1" s="1"/>
  <c r="M93" i="1" s="1"/>
  <c r="D94" i="1" a="1"/>
  <c r="D94" i="1" s="1"/>
  <c r="A94" i="1" s="1"/>
  <c r="M94" i="1" s="1"/>
  <c r="D95" i="1" a="1"/>
  <c r="D95" i="1" s="1"/>
  <c r="A95" i="1" s="1"/>
  <c r="M95" i="1" s="1"/>
  <c r="D96" i="1" a="1"/>
  <c r="D96" i="1" s="1"/>
  <c r="A96" i="1" s="1"/>
  <c r="M96" i="1" s="1"/>
  <c r="D97" i="1" a="1"/>
  <c r="D97" i="1" s="1"/>
  <c r="A97" i="1" s="1"/>
  <c r="M97" i="1" s="1"/>
  <c r="D98" i="1" a="1"/>
  <c r="D98" i="1"/>
  <c r="A98" i="1" s="1"/>
  <c r="M98" i="1" s="1"/>
  <c r="D99" i="1" a="1"/>
  <c r="D99" i="1" s="1"/>
  <c r="A99" i="1" s="1"/>
  <c r="M99" i="1" s="1"/>
  <c r="D100" i="1" a="1"/>
  <c r="D100" i="1" s="1"/>
  <c r="A100" i="1" s="1"/>
  <c r="M100" i="1" s="1"/>
  <c r="D101" i="1" a="1"/>
  <c r="D101" i="1"/>
  <c r="A101" i="1" s="1"/>
  <c r="M101" i="1" s="1"/>
  <c r="D102" i="1" a="1"/>
  <c r="D102" i="1" s="1"/>
  <c r="A102" i="1" s="1"/>
  <c r="M102" i="1" s="1"/>
  <c r="D103" i="1" a="1"/>
  <c r="D103" i="1" s="1"/>
  <c r="A103" i="1" s="1"/>
  <c r="M103" i="1" s="1"/>
  <c r="D104" i="1" a="1"/>
  <c r="D104" i="1" s="1"/>
  <c r="A104" i="1" s="1"/>
  <c r="M104" i="1" s="1"/>
  <c r="D105" i="1" a="1"/>
  <c r="D105" i="1" s="1"/>
  <c r="A105" i="1" s="1"/>
  <c r="M105" i="1" s="1"/>
  <c r="D106" i="1" a="1"/>
  <c r="D106" i="1" s="1"/>
  <c r="A106" i="1" s="1"/>
  <c r="M106" i="1" s="1"/>
  <c r="D107" i="1" a="1"/>
  <c r="D107" i="1" s="1"/>
  <c r="A107" i="1" s="1"/>
  <c r="M107" i="1" s="1"/>
  <c r="D108" i="1" a="1"/>
  <c r="D108" i="1" s="1"/>
  <c r="A108" i="1" s="1"/>
  <c r="M108" i="1" s="1"/>
  <c r="D109" i="1" a="1"/>
  <c r="D109" i="1" s="1"/>
  <c r="A109" i="1" s="1"/>
  <c r="M109" i="1" s="1"/>
  <c r="D110" i="1" a="1"/>
  <c r="D110" i="1" s="1"/>
  <c r="A110" i="1" s="1"/>
  <c r="M110" i="1" s="1"/>
  <c r="D111" i="1" a="1"/>
  <c r="D111" i="1" s="1"/>
  <c r="A111" i="1" s="1"/>
  <c r="M111" i="1" s="1"/>
  <c r="D112" i="1" a="1"/>
  <c r="D112" i="1" s="1"/>
  <c r="A112" i="1" s="1"/>
  <c r="M112" i="1" s="1"/>
  <c r="D113" i="1" a="1"/>
  <c r="D113" i="1" s="1"/>
  <c r="A113" i="1" s="1"/>
  <c r="M113" i="1" s="1"/>
  <c r="D114" i="1" a="1"/>
  <c r="D114" i="1"/>
  <c r="A114" i="1" s="1"/>
  <c r="M114" i="1" s="1"/>
  <c r="D115" i="1" a="1"/>
  <c r="D115" i="1" s="1"/>
  <c r="A115" i="1" s="1"/>
  <c r="M115" i="1" s="1"/>
  <c r="D116" i="1" a="1"/>
  <c r="D116" i="1" s="1"/>
  <c r="A116" i="1" s="1"/>
  <c r="M116" i="1" s="1"/>
  <c r="D117" i="1" a="1"/>
  <c r="D117" i="1" s="1"/>
  <c r="A117" i="1" s="1"/>
  <c r="M117" i="1" s="1"/>
  <c r="D118" i="1" a="1"/>
  <c r="D118" i="1" s="1"/>
  <c r="A118" i="1" s="1"/>
  <c r="M118" i="1" s="1"/>
  <c r="D119" i="1" a="1"/>
  <c r="D119" i="1" s="1"/>
  <c r="A119" i="1" s="1"/>
  <c r="M119" i="1" s="1"/>
  <c r="D120" i="1" a="1"/>
  <c r="D120" i="1"/>
  <c r="A120" i="1" s="1"/>
  <c r="M120" i="1" s="1"/>
  <c r="D121" i="1" a="1"/>
  <c r="D121" i="1" s="1"/>
  <c r="A121" i="1" s="1"/>
  <c r="M121" i="1" s="1"/>
  <c r="D122" i="1" a="1"/>
  <c r="D122" i="1" s="1"/>
  <c r="A122" i="1" s="1"/>
  <c r="M122" i="1" s="1"/>
  <c r="D123" i="1" a="1"/>
  <c r="D123" i="1" s="1"/>
  <c r="A123" i="1" s="1"/>
  <c r="M123" i="1" s="1"/>
  <c r="D124" i="1" a="1"/>
  <c r="D124" i="1" s="1"/>
  <c r="A124" i="1" s="1"/>
  <c r="M124" i="1" s="1"/>
  <c r="D125" i="1" a="1"/>
  <c r="D125" i="1" s="1"/>
  <c r="A125" i="1" s="1"/>
  <c r="M125" i="1" s="1"/>
  <c r="D126" i="1" a="1"/>
  <c r="D126" i="1" s="1"/>
  <c r="A126" i="1" s="1"/>
  <c r="M126" i="1" s="1"/>
  <c r="D127" i="1" a="1"/>
  <c r="D127" i="1"/>
  <c r="A127" i="1" s="1"/>
  <c r="M127" i="1" s="1"/>
  <c r="D128" i="1" a="1"/>
  <c r="D128" i="1"/>
  <c r="A128" i="1" s="1"/>
  <c r="M128" i="1" s="1"/>
  <c r="D129" i="1" a="1"/>
  <c r="D129" i="1" s="1"/>
  <c r="A129" i="1" s="1"/>
  <c r="M129" i="1" s="1"/>
  <c r="D130" i="1" a="1"/>
  <c r="D130" i="1" s="1"/>
  <c r="A130" i="1" s="1"/>
  <c r="M130" i="1" s="1"/>
  <c r="D131" i="1" a="1"/>
  <c r="D131" i="1" s="1"/>
  <c r="A131" i="1" s="1"/>
  <c r="M131" i="1" s="1"/>
  <c r="D132" i="1" a="1"/>
  <c r="D132" i="1" s="1"/>
  <c r="A132" i="1" s="1"/>
  <c r="M132" i="1" s="1"/>
  <c r="D133" i="1" a="1"/>
  <c r="D133" i="1" s="1"/>
  <c r="A133" i="1" s="1"/>
  <c r="M133" i="1" s="1"/>
  <c r="D134" i="1" a="1"/>
  <c r="D134" i="1" s="1"/>
  <c r="A134" i="1" s="1"/>
  <c r="M134" i="1" s="1"/>
  <c r="D135" i="1" a="1"/>
  <c r="D135" i="1" s="1"/>
  <c r="A135" i="1" s="1"/>
  <c r="M135" i="1" s="1"/>
  <c r="D136" i="1" a="1"/>
  <c r="D136" i="1" s="1"/>
  <c r="A136" i="1" s="1"/>
  <c r="M136" i="1" s="1"/>
  <c r="D137" i="1" a="1"/>
  <c r="D137" i="1"/>
  <c r="A137" i="1" s="1"/>
  <c r="M137" i="1" s="1"/>
  <c r="D138" i="1" a="1"/>
  <c r="D138" i="1"/>
  <c r="A138" i="1" s="1"/>
  <c r="M138" i="1" s="1"/>
  <c r="D139" i="1" a="1"/>
  <c r="D139" i="1" s="1"/>
  <c r="A139" i="1" s="1"/>
  <c r="M139" i="1" s="1"/>
  <c r="D140" i="1" a="1"/>
  <c r="D140" i="1" s="1"/>
  <c r="A140" i="1" s="1"/>
  <c r="M140" i="1" s="1"/>
  <c r="D141" i="1" a="1"/>
  <c r="D141" i="1" s="1"/>
  <c r="A141" i="1" s="1"/>
  <c r="M141" i="1" s="1"/>
  <c r="D142" i="1" a="1"/>
  <c r="D142" i="1" s="1"/>
  <c r="A142" i="1" s="1"/>
  <c r="M142" i="1" s="1"/>
  <c r="D143" i="1" a="1"/>
  <c r="D143" i="1" s="1"/>
  <c r="A143" i="1" s="1"/>
  <c r="M143" i="1" s="1"/>
  <c r="D144" i="1" a="1"/>
  <c r="D144" i="1"/>
  <c r="A144" i="1" s="1"/>
  <c r="M144" i="1" s="1"/>
  <c r="D145" i="1" a="1"/>
  <c r="D145" i="1"/>
  <c r="A145" i="1" s="1"/>
  <c r="M145" i="1" s="1"/>
  <c r="D146" i="1" a="1"/>
  <c r="D146" i="1" s="1"/>
  <c r="A146" i="1" s="1"/>
  <c r="M146" i="1" s="1"/>
  <c r="D147" i="1" a="1"/>
  <c r="D147" i="1" s="1"/>
  <c r="A147" i="1" s="1"/>
  <c r="M147" i="1" s="1"/>
  <c r="D148" i="1" a="1"/>
  <c r="D148" i="1" s="1"/>
  <c r="A148" i="1" s="1"/>
  <c r="M148" i="1" s="1"/>
  <c r="D149" i="1" a="1"/>
  <c r="D149" i="1" s="1"/>
  <c r="A149" i="1" s="1"/>
  <c r="M149" i="1" s="1"/>
  <c r="D150" i="1" a="1"/>
  <c r="D150" i="1" s="1"/>
  <c r="A150" i="1" s="1"/>
  <c r="M150" i="1" s="1"/>
  <c r="D151" i="1" a="1"/>
  <c r="D151" i="1" s="1"/>
  <c r="A151" i="1" s="1"/>
  <c r="M151" i="1" s="1"/>
  <c r="D152" i="1" a="1"/>
  <c r="D152" i="1" s="1"/>
  <c r="A152" i="1" s="1"/>
  <c r="M152" i="1" s="1"/>
  <c r="D153" i="1" a="1"/>
  <c r="D153" i="1" s="1"/>
  <c r="A153" i="1" s="1"/>
  <c r="M153" i="1" s="1"/>
  <c r="D154" i="1" a="1"/>
  <c r="D154" i="1" s="1"/>
  <c r="A154" i="1" s="1"/>
  <c r="M154" i="1" s="1"/>
  <c r="D155" i="1" a="1"/>
  <c r="D155" i="1" s="1"/>
  <c r="A155" i="1" s="1"/>
  <c r="M155" i="1" s="1"/>
  <c r="D156" i="1" a="1"/>
  <c r="D156" i="1" s="1"/>
  <c r="A156" i="1" s="1"/>
  <c r="M156" i="1" s="1"/>
  <c r="D157" i="1" a="1"/>
  <c r="D157" i="1"/>
  <c r="A157" i="1" s="1"/>
  <c r="M157" i="1" s="1"/>
  <c r="D158" i="1" a="1"/>
  <c r="D158" i="1"/>
  <c r="A158" i="1" s="1"/>
  <c r="M158" i="1" s="1"/>
  <c r="D159" i="1" a="1"/>
  <c r="D159" i="1" s="1"/>
  <c r="A159" i="1" s="1"/>
  <c r="M159" i="1" s="1"/>
  <c r="D160" i="1" a="1"/>
  <c r="D160" i="1" s="1"/>
  <c r="A160" i="1" s="1"/>
  <c r="M160" i="1" s="1"/>
  <c r="D161" i="1" a="1"/>
  <c r="D161" i="1" s="1"/>
  <c r="A161" i="1" s="1"/>
  <c r="M161" i="1" s="1"/>
  <c r="D162" i="1" a="1"/>
  <c r="D162" i="1" s="1"/>
  <c r="A162" i="1" s="1"/>
  <c r="M162" i="1" s="1"/>
  <c r="D163" i="1" a="1"/>
  <c r="D163" i="1" s="1"/>
  <c r="A163" i="1" s="1"/>
  <c r="M163" i="1" s="1"/>
  <c r="D164" i="1" a="1"/>
  <c r="D164" i="1" s="1"/>
  <c r="A164" i="1" s="1"/>
  <c r="M164" i="1" s="1"/>
  <c r="D165" i="1" a="1"/>
  <c r="D165" i="1" s="1"/>
  <c r="A165" i="1" s="1"/>
  <c r="M165" i="1" s="1"/>
  <c r="D166" i="1" a="1"/>
  <c r="D166" i="1" s="1"/>
  <c r="A166" i="1" s="1"/>
  <c r="D167" i="1" a="1"/>
  <c r="D167" i="1" s="1"/>
  <c r="A167" i="1" s="1"/>
  <c r="M167" i="1" s="1"/>
  <c r="D168" i="1" a="1"/>
  <c r="D168" i="1"/>
  <c r="A168" i="1" s="1"/>
  <c r="M168" i="1" s="1"/>
  <c r="D169" i="1" a="1"/>
  <c r="D169" i="1" s="1"/>
  <c r="A169" i="1" s="1"/>
  <c r="M169" i="1" s="1"/>
  <c r="D170" i="1" a="1"/>
  <c r="D170" i="1"/>
  <c r="A170" i="1" s="1"/>
  <c r="M170" i="1" s="1"/>
  <c r="D171" i="1" a="1"/>
  <c r="D171" i="1" s="1"/>
  <c r="A171" i="1" s="1"/>
  <c r="M171" i="1" s="1"/>
  <c r="D172" i="1" a="1"/>
  <c r="D172" i="1" s="1"/>
  <c r="A172" i="1" s="1"/>
  <c r="M172" i="1" s="1"/>
  <c r="D173" i="1" a="1"/>
  <c r="D173" i="1"/>
  <c r="A173" i="1" s="1"/>
  <c r="M173" i="1" s="1"/>
  <c r="D174" i="1" a="1"/>
  <c r="D174" i="1" s="1"/>
  <c r="A174" i="1" s="1"/>
  <c r="M174" i="1" s="1"/>
  <c r="D175" i="1" a="1"/>
  <c r="D175" i="1"/>
  <c r="A175" i="1" s="1"/>
  <c r="M175" i="1" s="1"/>
  <c r="D176" i="1" a="1"/>
  <c r="D176" i="1" s="1"/>
  <c r="A176" i="1" s="1"/>
  <c r="M176" i="1" s="1"/>
  <c r="D177" i="1" a="1"/>
  <c r="D177" i="1" s="1"/>
  <c r="A177" i="1" s="1"/>
  <c r="M177" i="1" s="1"/>
  <c r="D178" i="1" a="1"/>
  <c r="D178" i="1" s="1"/>
  <c r="A178" i="1" s="1"/>
  <c r="M178" i="1" s="1"/>
  <c r="D179" i="1" a="1"/>
  <c r="D179" i="1" s="1"/>
  <c r="A179" i="1" s="1"/>
  <c r="M179" i="1" s="1"/>
  <c r="D180" i="1" a="1"/>
  <c r="D180" i="1" s="1"/>
  <c r="A180" i="1" s="1"/>
  <c r="M180" i="1" s="1"/>
  <c r="D181" i="1" a="1"/>
  <c r="D181" i="1"/>
  <c r="A181" i="1" s="1"/>
  <c r="M181" i="1" s="1"/>
  <c r="D182" i="1" a="1"/>
  <c r="D182" i="1"/>
  <c r="A182" i="1" s="1"/>
  <c r="M182" i="1" s="1"/>
  <c r="D183" i="1" a="1"/>
  <c r="D183" i="1" s="1"/>
  <c r="A183" i="1" s="1"/>
  <c r="M183" i="1" s="1"/>
  <c r="D184" i="1" a="1"/>
  <c r="D184" i="1" s="1"/>
  <c r="A184" i="1" s="1"/>
  <c r="M184" i="1" s="1"/>
  <c r="D185" i="1" a="1"/>
  <c r="D185" i="1" s="1"/>
  <c r="A185" i="1" s="1"/>
  <c r="M185" i="1" s="1"/>
  <c r="D186" i="1" a="1"/>
  <c r="D186" i="1" s="1"/>
  <c r="A186" i="1" s="1"/>
  <c r="M186" i="1" s="1"/>
  <c r="D187" i="1" a="1"/>
  <c r="D187" i="1" s="1"/>
  <c r="A187" i="1" s="1"/>
  <c r="M187" i="1" s="1"/>
  <c r="D188" i="1" a="1"/>
  <c r="D188" i="1" s="1"/>
  <c r="A188" i="1" s="1"/>
  <c r="M188" i="1" s="1"/>
  <c r="D189" i="1" a="1"/>
  <c r="D189" i="1" s="1"/>
  <c r="A189" i="1" s="1"/>
  <c r="M189" i="1" s="1"/>
  <c r="D190" i="1" a="1"/>
  <c r="D190" i="1" s="1"/>
  <c r="A190" i="1" s="1"/>
  <c r="M190" i="1" s="1"/>
  <c r="D191" i="1" a="1"/>
  <c r="D191" i="1" s="1"/>
  <c r="A191" i="1" s="1"/>
  <c r="M191" i="1" s="1"/>
  <c r="D192" i="1" a="1"/>
  <c r="D192" i="1"/>
  <c r="A192" i="1" s="1"/>
  <c r="M192" i="1" s="1"/>
  <c r="D193" i="1" a="1"/>
  <c r="D193" i="1" s="1"/>
  <c r="A193" i="1" s="1"/>
  <c r="M193" i="1" s="1"/>
  <c r="D194" i="1" a="1"/>
  <c r="D194" i="1"/>
  <c r="A194" i="1" s="1"/>
  <c r="M194" i="1" s="1"/>
  <c r="D195" i="1" a="1"/>
  <c r="D195" i="1" s="1"/>
  <c r="A195" i="1" s="1"/>
  <c r="M195" i="1" s="1"/>
  <c r="D196" i="1" a="1"/>
  <c r="D196" i="1" s="1"/>
  <c r="A196" i="1" s="1"/>
  <c r="M196" i="1" s="1"/>
  <c r="D197" i="1" a="1"/>
  <c r="D197" i="1"/>
  <c r="A197" i="1" s="1"/>
  <c r="M197" i="1" s="1"/>
  <c r="D198" i="1" a="1"/>
  <c r="D198" i="1" s="1"/>
  <c r="A198" i="1" s="1"/>
  <c r="M198" i="1" s="1"/>
  <c r="D199" i="1" a="1"/>
  <c r="D199" i="1" s="1"/>
  <c r="A199" i="1" s="1"/>
  <c r="M199" i="1" s="1"/>
  <c r="D200" i="1" a="1"/>
  <c r="D200" i="1" s="1"/>
  <c r="A200" i="1" s="1"/>
  <c r="M200" i="1" s="1"/>
  <c r="D201" i="1" a="1"/>
  <c r="D201" i="1" s="1"/>
  <c r="A201" i="1" s="1"/>
  <c r="M201" i="1" s="1"/>
  <c r="D202" i="1" a="1"/>
  <c r="D202" i="1" s="1"/>
  <c r="A202" i="1" s="1"/>
  <c r="M202" i="1" s="1"/>
  <c r="D203" i="1" a="1"/>
  <c r="D203" i="1" s="1"/>
  <c r="A203" i="1" s="1"/>
  <c r="M203" i="1" s="1"/>
  <c r="D204" i="1" a="1"/>
  <c r="D204" i="1"/>
  <c r="A204" i="1" s="1"/>
  <c r="M204" i="1" s="1"/>
  <c r="D205" i="1" a="1"/>
  <c r="D205" i="1" s="1"/>
  <c r="A205" i="1" s="1"/>
  <c r="M205" i="1" s="1"/>
  <c r="D206" i="1" a="1"/>
  <c r="D206" i="1" s="1"/>
  <c r="A206" i="1" s="1"/>
  <c r="M206" i="1" s="1"/>
  <c r="D207" i="1" a="1"/>
  <c r="D207" i="1" s="1"/>
  <c r="A207" i="1" s="1"/>
  <c r="M207" i="1" s="1"/>
  <c r="D208" i="1" a="1"/>
  <c r="D208" i="1" s="1"/>
  <c r="A208" i="1" s="1"/>
  <c r="M208" i="1" s="1"/>
  <c r="D209" i="1" a="1"/>
  <c r="D209" i="1"/>
  <c r="A209" i="1" s="1"/>
  <c r="M209" i="1" s="1"/>
  <c r="D210" i="1" a="1"/>
  <c r="D210" i="1" s="1"/>
  <c r="A210" i="1" s="1"/>
  <c r="M210" i="1" s="1"/>
  <c r="D211" i="1" a="1"/>
  <c r="D211" i="1"/>
  <c r="A211" i="1" s="1"/>
  <c r="M211" i="1" s="1"/>
  <c r="D212" i="1" a="1"/>
  <c r="D212" i="1" s="1"/>
  <c r="A212" i="1" s="1"/>
  <c r="M212" i="1" s="1"/>
  <c r="D213" i="1" a="1"/>
  <c r="D213" i="1" s="1"/>
  <c r="A213" i="1" s="1"/>
  <c r="M213" i="1" s="1"/>
  <c r="D214" i="1" a="1"/>
  <c r="D214" i="1" s="1"/>
  <c r="A214" i="1" s="1"/>
  <c r="M214" i="1" s="1"/>
  <c r="D215" i="1" a="1"/>
  <c r="D215" i="1"/>
  <c r="A215" i="1" s="1"/>
  <c r="M215" i="1" s="1"/>
  <c r="D216" i="1" a="1"/>
  <c r="D216" i="1" s="1"/>
  <c r="A216" i="1" s="1"/>
  <c r="M216" i="1" s="1"/>
  <c r="D217" i="1" a="1"/>
  <c r="D217" i="1" s="1"/>
  <c r="A217" i="1" s="1"/>
  <c r="M217" i="1" s="1"/>
  <c r="D218" i="1" a="1"/>
  <c r="D218" i="1" s="1"/>
  <c r="A218" i="1" s="1"/>
  <c r="M218" i="1" s="1"/>
  <c r="D219" i="1" a="1"/>
  <c r="D219" i="1" s="1"/>
  <c r="A219" i="1" s="1"/>
  <c r="M219" i="1" s="1"/>
  <c r="D220" i="1" a="1"/>
  <c r="D220" i="1" s="1"/>
  <c r="A220" i="1" s="1"/>
  <c r="M220" i="1" s="1"/>
  <c r="D221" i="1" a="1"/>
  <c r="D221" i="1"/>
  <c r="A221" i="1" s="1"/>
  <c r="M221" i="1" s="1"/>
  <c r="D222" i="1" a="1"/>
  <c r="D222" i="1"/>
  <c r="A222" i="1" s="1"/>
  <c r="M222" i="1" s="1"/>
  <c r="D223" i="1" a="1"/>
  <c r="D223" i="1" s="1"/>
  <c r="A223" i="1" s="1"/>
  <c r="M223" i="1" s="1"/>
  <c r="D224" i="1" a="1"/>
  <c r="D224" i="1" s="1"/>
  <c r="A224" i="1" s="1"/>
  <c r="M224" i="1" s="1"/>
  <c r="D225" i="1" a="1"/>
  <c r="D225" i="1" s="1"/>
  <c r="A225" i="1" s="1"/>
  <c r="M225" i="1" s="1"/>
  <c r="D226" i="1" a="1"/>
  <c r="D226" i="1" s="1"/>
  <c r="A226" i="1" s="1"/>
  <c r="M226" i="1" s="1"/>
  <c r="D227" i="1" a="1"/>
  <c r="D227" i="1" s="1"/>
  <c r="A227" i="1" s="1"/>
  <c r="M227" i="1" s="1"/>
  <c r="D228" i="1" a="1"/>
  <c r="D228" i="1" s="1"/>
  <c r="A228" i="1" s="1"/>
  <c r="M228" i="1" s="1"/>
  <c r="D229" i="1" a="1"/>
  <c r="D229" i="1" s="1"/>
  <c r="A229" i="1" s="1"/>
  <c r="M229" i="1" s="1"/>
  <c r="D230" i="1" a="1"/>
  <c r="D230" i="1" s="1"/>
  <c r="A230" i="1" s="1"/>
  <c r="M230" i="1" s="1"/>
  <c r="D231" i="1" a="1"/>
  <c r="D231" i="1" s="1"/>
  <c r="D232" i="1" a="1"/>
  <c r="D232" i="1" s="1"/>
  <c r="A232" i="1" s="1"/>
  <c r="M232" i="1" s="1"/>
  <c r="D233" i="1" a="1"/>
  <c r="D233" i="1" s="1"/>
  <c r="A233" i="1" s="1"/>
  <c r="M233" i="1" s="1"/>
  <c r="D234" i="1" a="1"/>
  <c r="D234" i="1" s="1"/>
  <c r="A234" i="1" s="1"/>
  <c r="M234" i="1" s="1"/>
  <c r="D235" i="1" a="1"/>
  <c r="D235" i="1"/>
  <c r="A235" i="1" s="1"/>
  <c r="M235" i="1" s="1"/>
  <c r="D236" i="1" a="1"/>
  <c r="D236" i="1" s="1"/>
  <c r="A236" i="1" s="1"/>
  <c r="M236" i="1" s="1"/>
  <c r="D237" i="1" a="1"/>
  <c r="D237" i="1" s="1"/>
  <c r="A237" i="1" s="1"/>
  <c r="M237" i="1" s="1"/>
  <c r="D238" i="1" a="1"/>
  <c r="D238" i="1" s="1"/>
  <c r="A238" i="1" s="1"/>
  <c r="M238" i="1" s="1"/>
  <c r="D239" i="1" a="1"/>
  <c r="D239" i="1" s="1"/>
  <c r="A239" i="1" s="1"/>
  <c r="M239" i="1" s="1"/>
  <c r="D240" i="1" a="1"/>
  <c r="D240" i="1" s="1"/>
  <c r="A240" i="1" s="1"/>
  <c r="M240" i="1" s="1"/>
  <c r="D241" i="1" a="1"/>
  <c r="D241" i="1" s="1"/>
  <c r="A241" i="1" s="1"/>
  <c r="M241" i="1" s="1"/>
  <c r="D242" i="1" a="1"/>
  <c r="D242" i="1"/>
  <c r="A242" i="1" s="1"/>
  <c r="M242" i="1" s="1"/>
  <c r="D243" i="1" a="1"/>
  <c r="D243" i="1" s="1"/>
  <c r="A243" i="1" s="1"/>
  <c r="M243" i="1" s="1"/>
  <c r="D244" i="1" a="1"/>
  <c r="D244" i="1" s="1"/>
  <c r="A244" i="1" s="1"/>
  <c r="M244" i="1" s="1"/>
  <c r="D245" i="1" a="1"/>
  <c r="D245" i="1" s="1"/>
  <c r="A245" i="1" s="1"/>
  <c r="M245" i="1" s="1"/>
  <c r="D246" i="1" a="1"/>
  <c r="D246" i="1"/>
  <c r="A246" i="1" s="1"/>
  <c r="M246" i="1" s="1"/>
  <c r="D247" i="1" a="1"/>
  <c r="D247" i="1" s="1"/>
  <c r="A247" i="1" s="1"/>
  <c r="M247" i="1" s="1"/>
  <c r="D248" i="1" a="1"/>
  <c r="D248" i="1" s="1"/>
  <c r="A248" i="1" s="1"/>
  <c r="M248" i="1" s="1"/>
  <c r="D249" i="1" a="1"/>
  <c r="D249" i="1" s="1"/>
  <c r="A249" i="1" s="1"/>
  <c r="M249" i="1" s="1"/>
  <c r="D250" i="1" a="1"/>
  <c r="D250" i="1" s="1"/>
  <c r="A250" i="1" s="1"/>
  <c r="M250" i="1" s="1"/>
  <c r="D251" i="1" a="1"/>
  <c r="D251" i="1"/>
  <c r="A251" i="1" s="1"/>
  <c r="M251" i="1" s="1"/>
  <c r="D252" i="1" a="1"/>
  <c r="D252" i="1"/>
  <c r="A252" i="1" s="1"/>
  <c r="M252" i="1" s="1"/>
  <c r="D253" i="1" a="1"/>
  <c r="D253" i="1" s="1"/>
  <c r="A253" i="1" s="1"/>
  <c r="M253" i="1" s="1"/>
  <c r="D254" i="1" a="1"/>
  <c r="D254" i="1" s="1"/>
  <c r="A254" i="1" s="1"/>
  <c r="M254" i="1" s="1"/>
  <c r="D255" i="1" a="1"/>
  <c r="D255" i="1" s="1"/>
  <c r="A255" i="1" s="1"/>
  <c r="M255" i="1" s="1"/>
  <c r="D256" i="1" a="1"/>
  <c r="D256" i="1" s="1"/>
  <c r="A256" i="1" s="1"/>
  <c r="M256" i="1" s="1"/>
  <c r="D257" i="1" a="1"/>
  <c r="D257" i="1" s="1"/>
  <c r="A257" i="1" s="1"/>
  <c r="M257" i="1" s="1"/>
  <c r="D258" i="1" a="1"/>
  <c r="D258" i="1"/>
  <c r="A258" i="1" s="1"/>
  <c r="M258" i="1" s="1"/>
  <c r="D259" i="1" a="1"/>
  <c r="D259" i="1" s="1"/>
  <c r="A259" i="1" s="1"/>
  <c r="M259" i="1" s="1"/>
  <c r="D260" i="1" a="1"/>
  <c r="D260" i="1" s="1"/>
  <c r="A260" i="1" s="1"/>
  <c r="M260" i="1" s="1"/>
  <c r="D261" i="1" a="1"/>
  <c r="D261" i="1" s="1"/>
  <c r="A261" i="1" s="1"/>
  <c r="M261" i="1" s="1"/>
  <c r="D262" i="1" a="1"/>
  <c r="D262" i="1" s="1"/>
  <c r="A262" i="1" s="1"/>
  <c r="M262" i="1" s="1"/>
  <c r="D263" i="1" a="1"/>
  <c r="D263" i="1" s="1"/>
  <c r="A263" i="1" s="1"/>
  <c r="M263" i="1" s="1"/>
  <c r="D264" i="1" a="1"/>
  <c r="D264" i="1"/>
  <c r="A264" i="1" s="1"/>
  <c r="M264" i="1" s="1"/>
  <c r="D265" i="1" a="1"/>
  <c r="D265" i="1" s="1"/>
  <c r="A265" i="1" s="1"/>
  <c r="M265" i="1" s="1"/>
  <c r="D266" i="1" a="1"/>
  <c r="D266" i="1" s="1"/>
  <c r="A266" i="1" s="1"/>
  <c r="M266" i="1" s="1"/>
  <c r="D267" i="1" a="1"/>
  <c r="D267" i="1" s="1"/>
  <c r="A267" i="1" s="1"/>
  <c r="M267" i="1" s="1"/>
  <c r="D268" i="1" a="1"/>
  <c r="D268" i="1" s="1"/>
  <c r="A268" i="1" s="1"/>
  <c r="M268" i="1" s="1"/>
  <c r="D269" i="1" a="1"/>
  <c r="D269" i="1" s="1"/>
  <c r="A269" i="1" s="1"/>
  <c r="M269" i="1" s="1"/>
  <c r="D270" i="1" a="1"/>
  <c r="D270" i="1" s="1"/>
  <c r="A270" i="1" s="1"/>
  <c r="M270" i="1" s="1"/>
  <c r="D271" i="1" a="1"/>
  <c r="D271" i="1"/>
  <c r="A271" i="1" s="1"/>
  <c r="M271" i="1" s="1"/>
  <c r="D272" i="1" a="1"/>
  <c r="D272" i="1" s="1"/>
  <c r="A272" i="1" s="1"/>
  <c r="M272" i="1" s="1"/>
  <c r="D273" i="1" a="1"/>
  <c r="D273" i="1" s="1"/>
  <c r="A273" i="1" s="1"/>
  <c r="M273" i="1" s="1"/>
  <c r="D274" i="1" a="1"/>
  <c r="D274" i="1" s="1"/>
  <c r="A274" i="1" s="1"/>
  <c r="M274" i="1" s="1"/>
  <c r="D275" i="1" a="1"/>
  <c r="D275" i="1"/>
  <c r="A275" i="1" s="1"/>
  <c r="M275" i="1" s="1"/>
  <c r="D276" i="1" a="1"/>
  <c r="D276" i="1" s="1"/>
  <c r="A276" i="1" s="1"/>
  <c r="M276" i="1" s="1"/>
  <c r="D277" i="1" a="1"/>
  <c r="D277" i="1" s="1"/>
  <c r="A277" i="1" s="1"/>
  <c r="M277" i="1" s="1"/>
  <c r="D278" i="1" a="1"/>
  <c r="D278" i="1" s="1"/>
  <c r="A278" i="1" s="1"/>
  <c r="M278" i="1" s="1"/>
  <c r="D279" i="1" a="1"/>
  <c r="D279" i="1" s="1"/>
  <c r="A279" i="1" s="1"/>
  <c r="M279" i="1" s="1"/>
  <c r="D280" i="1" a="1"/>
  <c r="D280" i="1" s="1"/>
  <c r="A280" i="1" s="1"/>
  <c r="M280" i="1" s="1"/>
  <c r="D281" i="1" a="1"/>
  <c r="D281" i="1"/>
  <c r="A281" i="1" s="1"/>
  <c r="M281" i="1" s="1"/>
  <c r="D282" i="1" a="1"/>
  <c r="D282" i="1" s="1"/>
  <c r="A282" i="1" s="1"/>
  <c r="M282" i="1" s="1"/>
  <c r="D283" i="1" a="1"/>
  <c r="D283" i="1"/>
  <c r="A283" i="1" s="1"/>
  <c r="M283" i="1" s="1"/>
  <c r="D284" i="1" a="1"/>
  <c r="D284" i="1" s="1"/>
  <c r="A284" i="1" s="1"/>
  <c r="M284" i="1" s="1"/>
  <c r="D285" i="1" a="1"/>
  <c r="D285" i="1" s="1"/>
  <c r="A285" i="1" s="1"/>
  <c r="M285" i="1" s="1"/>
  <c r="D286" i="1" a="1"/>
  <c r="D286" i="1" s="1"/>
  <c r="A286" i="1" s="1"/>
  <c r="M286" i="1" s="1"/>
  <c r="D287" i="1" a="1"/>
  <c r="D287" i="1" s="1"/>
  <c r="A287" i="1" s="1"/>
  <c r="M287" i="1" s="1"/>
  <c r="D288" i="1" a="1"/>
  <c r="D288" i="1"/>
  <c r="A288" i="1" s="1"/>
  <c r="M288" i="1" s="1"/>
  <c r="D289" i="1" a="1"/>
  <c r="D289" i="1"/>
  <c r="A289" i="1" s="1"/>
  <c r="M289" i="1" s="1"/>
  <c r="D290" i="1" a="1"/>
  <c r="D290" i="1" s="1"/>
  <c r="A290" i="1" s="1"/>
  <c r="M290" i="1" s="1"/>
  <c r="D291" i="1" a="1"/>
  <c r="D291" i="1" s="1"/>
  <c r="A291" i="1" s="1"/>
  <c r="M291" i="1" s="1"/>
  <c r="D292" i="1" a="1"/>
  <c r="D292" i="1" s="1"/>
  <c r="A292" i="1" s="1"/>
  <c r="M292" i="1" s="1"/>
  <c r="D293" i="1" a="1"/>
  <c r="D293" i="1" s="1"/>
  <c r="A293" i="1" s="1"/>
  <c r="M293" i="1" s="1"/>
  <c r="D294" i="1" a="1"/>
  <c r="D294" i="1" s="1"/>
  <c r="A294" i="1" s="1"/>
  <c r="M294" i="1" s="1"/>
  <c r="D295" i="1" a="1"/>
  <c r="D295" i="1"/>
  <c r="A295" i="1" s="1"/>
  <c r="M295" i="1" s="1"/>
  <c r="D296" i="1" a="1"/>
  <c r="D296" i="1" s="1"/>
  <c r="A296" i="1" s="1"/>
  <c r="M296" i="1" s="1"/>
  <c r="D297" i="1" a="1"/>
  <c r="D297" i="1" s="1"/>
  <c r="A297" i="1" s="1"/>
  <c r="M297" i="1" s="1"/>
  <c r="D298" i="1" a="1"/>
  <c r="D298" i="1" s="1"/>
  <c r="A298" i="1" s="1"/>
  <c r="M298" i="1" s="1"/>
  <c r="D299" i="1" a="1"/>
  <c r="D299" i="1" s="1"/>
  <c r="A299" i="1" s="1"/>
  <c r="M299" i="1" s="1"/>
  <c r="D300" i="1" a="1"/>
  <c r="D300" i="1" s="1"/>
  <c r="A300" i="1" s="1"/>
  <c r="M300" i="1" s="1"/>
  <c r="D301" i="1" a="1"/>
  <c r="D301" i="1"/>
  <c r="D302" i="1" a="1"/>
  <c r="D302" i="1"/>
  <c r="A302" i="1" s="1"/>
  <c r="M302" i="1" s="1"/>
  <c r="D303" i="1" a="1"/>
  <c r="D303" i="1" s="1"/>
  <c r="A303" i="1" s="1"/>
  <c r="M303" i="1" s="1"/>
  <c r="D304" i="1" a="1"/>
  <c r="D304" i="1" s="1"/>
  <c r="A304" i="1" s="1"/>
  <c r="M304" i="1" s="1"/>
  <c r="D305" i="1" a="1"/>
  <c r="D305" i="1" s="1"/>
  <c r="A305" i="1" s="1"/>
  <c r="M305" i="1" s="1"/>
  <c r="D306" i="1" a="1"/>
  <c r="D306" i="1" s="1"/>
  <c r="A306" i="1" s="1"/>
  <c r="M306" i="1" s="1"/>
  <c r="D307" i="1" a="1"/>
  <c r="D307" i="1" s="1"/>
  <c r="A307" i="1" s="1"/>
  <c r="M307" i="1" s="1"/>
  <c r="D308" i="1" a="1"/>
  <c r="D308" i="1" s="1"/>
  <c r="A308" i="1" s="1"/>
  <c r="M308" i="1" s="1"/>
  <c r="D309" i="1" a="1"/>
  <c r="D309" i="1" s="1"/>
  <c r="A309" i="1" s="1"/>
  <c r="M309" i="1" s="1"/>
  <c r="D310" i="1" a="1"/>
  <c r="D310" i="1" s="1"/>
  <c r="A310" i="1" s="1"/>
  <c r="M310" i="1" s="1"/>
  <c r="D311" i="1" a="1"/>
  <c r="D311" i="1"/>
  <c r="A311" i="1" s="1"/>
  <c r="M311" i="1" s="1"/>
  <c r="D312" i="1" a="1"/>
  <c r="D312" i="1" s="1"/>
  <c r="A312" i="1" s="1"/>
  <c r="M312" i="1" s="1"/>
  <c r="D313" i="1" a="1"/>
  <c r="D313" i="1" s="1"/>
  <c r="A313" i="1" s="1"/>
  <c r="M313" i="1" s="1"/>
  <c r="D314" i="1" a="1"/>
  <c r="D314" i="1" s="1"/>
  <c r="A314" i="1" s="1"/>
  <c r="M314" i="1" s="1"/>
  <c r="D315" i="1" a="1"/>
  <c r="D315" i="1" s="1"/>
  <c r="A315" i="1" s="1"/>
  <c r="M315" i="1" s="1"/>
  <c r="D316" i="1" a="1"/>
  <c r="D316" i="1" s="1"/>
  <c r="A316" i="1" s="1"/>
  <c r="M316" i="1" s="1"/>
  <c r="D317" i="1" a="1"/>
  <c r="D317" i="1"/>
  <c r="A317" i="1" s="1"/>
  <c r="M317" i="1" s="1"/>
  <c r="D318" i="1" a="1"/>
  <c r="D318" i="1" s="1"/>
  <c r="A318" i="1" s="1"/>
  <c r="M318" i="1" s="1"/>
  <c r="D319" i="1" a="1"/>
  <c r="D319" i="1"/>
  <c r="A319" i="1" s="1"/>
  <c r="M319" i="1" s="1"/>
  <c r="D320" i="1" a="1"/>
  <c r="D320" i="1" s="1"/>
  <c r="A320" i="1" s="1"/>
  <c r="M320" i="1" s="1"/>
  <c r="D321" i="1" a="1"/>
  <c r="D321" i="1" s="1"/>
  <c r="A321" i="1" s="1"/>
  <c r="M321" i="1" s="1"/>
  <c r="D322" i="1" a="1"/>
  <c r="D322" i="1" s="1"/>
  <c r="A322" i="1" s="1"/>
  <c r="M322" i="1" s="1"/>
  <c r="D323" i="1" a="1"/>
  <c r="D323" i="1" s="1"/>
  <c r="A323" i="1" s="1"/>
  <c r="M323" i="1" s="1"/>
  <c r="D324" i="1" a="1"/>
  <c r="D324" i="1" s="1"/>
  <c r="A324" i="1" s="1"/>
  <c r="M324" i="1" s="1"/>
  <c r="D325" i="1" a="1"/>
  <c r="D325" i="1" s="1"/>
  <c r="A325" i="1" s="1"/>
  <c r="M325" i="1" s="1"/>
  <c r="D326" i="1" a="1"/>
  <c r="D326" i="1" s="1"/>
  <c r="A326" i="1" s="1"/>
  <c r="M326" i="1" s="1"/>
  <c r="D327" i="1" a="1"/>
  <c r="D327" i="1" s="1"/>
  <c r="A327" i="1" s="1"/>
  <c r="M327" i="1" s="1"/>
  <c r="D328" i="1" a="1"/>
  <c r="D328" i="1" s="1"/>
  <c r="A328" i="1" s="1"/>
  <c r="M328" i="1" s="1"/>
  <c r="D329" i="1" a="1"/>
  <c r="D329" i="1" s="1"/>
  <c r="A329" i="1" s="1"/>
  <c r="M329" i="1" s="1"/>
  <c r="D330" i="1" a="1"/>
  <c r="D330" i="1"/>
  <c r="A330" i="1" s="1"/>
  <c r="M330" i="1" s="1"/>
  <c r="D331" i="1" a="1"/>
  <c r="D331" i="1" s="1"/>
  <c r="A331" i="1" s="1"/>
  <c r="M331" i="1" s="1"/>
  <c r="D332" i="1" a="1"/>
  <c r="D332" i="1" s="1"/>
  <c r="A332" i="1" s="1"/>
  <c r="M332" i="1" s="1"/>
  <c r="D333" i="1" a="1"/>
  <c r="D333" i="1" s="1"/>
  <c r="A333" i="1" s="1"/>
  <c r="M333" i="1" s="1"/>
  <c r="D334" i="1" a="1"/>
  <c r="D334" i="1" s="1"/>
  <c r="A334" i="1" s="1"/>
  <c r="M334" i="1" s="1"/>
  <c r="D335" i="1" a="1"/>
  <c r="D335" i="1" s="1"/>
  <c r="A335" i="1" s="1"/>
  <c r="M335" i="1" s="1"/>
  <c r="D336" i="1" a="1"/>
  <c r="D336" i="1"/>
  <c r="A336" i="1" s="1"/>
  <c r="M336" i="1" s="1"/>
  <c r="D337" i="1" a="1"/>
  <c r="D337" i="1"/>
  <c r="A337" i="1" s="1"/>
  <c r="M337" i="1" s="1"/>
  <c r="D338" i="1" a="1"/>
  <c r="D338" i="1"/>
  <c r="A338" i="1" s="1"/>
  <c r="M338" i="1" s="1"/>
  <c r="D339" i="1" a="1"/>
  <c r="D339" i="1" s="1"/>
  <c r="A339" i="1" s="1"/>
  <c r="M339" i="1" s="1"/>
  <c r="D340" i="1" a="1"/>
  <c r="D340" i="1" s="1"/>
  <c r="A340" i="1" s="1"/>
  <c r="M340" i="1" s="1"/>
  <c r="D341" i="1" a="1"/>
  <c r="D341" i="1" s="1"/>
  <c r="A341" i="1" s="1"/>
  <c r="M341" i="1" s="1"/>
  <c r="D342" i="1" a="1"/>
  <c r="D342" i="1" s="1"/>
  <c r="A342" i="1" s="1"/>
  <c r="M342" i="1" s="1"/>
  <c r="D343" i="1" a="1"/>
  <c r="D343" i="1"/>
  <c r="A343" i="1" s="1"/>
  <c r="M343" i="1" s="1"/>
  <c r="D344" i="1" a="1"/>
  <c r="D344" i="1"/>
  <c r="A344" i="1" s="1"/>
  <c r="M344" i="1" s="1"/>
  <c r="D345" i="1" a="1"/>
  <c r="D345" i="1" s="1"/>
  <c r="A345" i="1" s="1"/>
  <c r="M345" i="1" s="1"/>
  <c r="D346" i="1" a="1"/>
  <c r="D346" i="1" s="1"/>
  <c r="A346" i="1" s="1"/>
  <c r="M346" i="1" s="1"/>
  <c r="D347" i="1" a="1"/>
  <c r="D347" i="1"/>
  <c r="A347" i="1" s="1"/>
  <c r="M347" i="1" s="1"/>
  <c r="D348" i="1" a="1"/>
  <c r="D348" i="1" s="1"/>
  <c r="A348" i="1" s="1"/>
  <c r="M348" i="1" s="1"/>
  <c r="D349" i="1" a="1"/>
  <c r="D349" i="1" s="1"/>
  <c r="A349" i="1" s="1"/>
  <c r="M349" i="1" s="1"/>
  <c r="D350" i="1" a="1"/>
  <c r="D350" i="1" s="1"/>
  <c r="A350" i="1" s="1"/>
  <c r="M350" i="1" s="1"/>
  <c r="D351" i="1" a="1"/>
  <c r="D351" i="1" s="1"/>
  <c r="A351" i="1" s="1"/>
  <c r="M351" i="1" s="1"/>
  <c r="D352" i="1" a="1"/>
  <c r="D352" i="1" s="1"/>
  <c r="A352" i="1" s="1"/>
  <c r="M352" i="1" s="1"/>
  <c r="D353" i="1" a="1"/>
  <c r="D353" i="1"/>
  <c r="A353" i="1" s="1"/>
  <c r="M353" i="1" s="1"/>
  <c r="D354" i="1" a="1"/>
  <c r="D354" i="1"/>
  <c r="A354" i="1" s="1"/>
  <c r="M354" i="1" s="1"/>
  <c r="D355" i="1" a="1"/>
  <c r="D355" i="1"/>
  <c r="A355" i="1" s="1"/>
  <c r="M355" i="1" s="1"/>
  <c r="D356" i="1" a="1"/>
  <c r="D356" i="1" s="1"/>
  <c r="A356" i="1" s="1"/>
  <c r="M356" i="1" s="1"/>
  <c r="D357" i="1" a="1"/>
  <c r="D357" i="1" s="1"/>
  <c r="A357" i="1" s="1"/>
  <c r="M357" i="1" s="1"/>
  <c r="D358" i="1" a="1"/>
  <c r="D358" i="1" s="1"/>
  <c r="A358" i="1" s="1"/>
  <c r="M358" i="1" s="1"/>
  <c r="D359" i="1" a="1"/>
  <c r="D359" i="1" s="1"/>
  <c r="A359" i="1" s="1"/>
  <c r="M359" i="1" s="1"/>
  <c r="D360" i="1" a="1"/>
  <c r="D360" i="1"/>
  <c r="A360" i="1" s="1"/>
  <c r="M360" i="1" s="1"/>
  <c r="D361" i="1" a="1"/>
  <c r="D361" i="1"/>
  <c r="A361" i="1" s="1"/>
  <c r="M361" i="1" s="1"/>
  <c r="D362" i="1" a="1"/>
  <c r="D362" i="1" s="1"/>
  <c r="A362" i="1" s="1"/>
  <c r="M362" i="1" s="1"/>
  <c r="D363" i="1" a="1"/>
  <c r="D363" i="1" s="1"/>
  <c r="A363" i="1" s="1"/>
  <c r="M363" i="1" s="1"/>
  <c r="D364" i="1" a="1"/>
  <c r="D364" i="1" s="1"/>
  <c r="A364" i="1" s="1"/>
  <c r="M364" i="1" s="1"/>
  <c r="D365" i="1" a="1"/>
  <c r="D365" i="1" s="1"/>
  <c r="A365" i="1" s="1"/>
  <c r="M365" i="1" s="1"/>
  <c r="D366" i="1" a="1"/>
  <c r="D366" i="1" s="1"/>
  <c r="A366" i="1" s="1"/>
  <c r="M366" i="1" s="1"/>
  <c r="D367" i="1" a="1"/>
  <c r="D367" i="1" s="1"/>
  <c r="A367" i="1" s="1"/>
  <c r="M367" i="1" s="1"/>
  <c r="D368" i="1" a="1"/>
  <c r="D368" i="1" s="1"/>
  <c r="A368" i="1" s="1"/>
  <c r="M368" i="1" s="1"/>
  <c r="D369" i="1" a="1"/>
  <c r="D369" i="1" s="1"/>
  <c r="A369" i="1" s="1"/>
  <c r="M369" i="1" s="1"/>
  <c r="D370" i="1" a="1"/>
  <c r="D370" i="1" s="1"/>
  <c r="A370" i="1" s="1"/>
  <c r="M370" i="1" s="1"/>
  <c r="D371" i="1" a="1"/>
  <c r="D371" i="1" s="1"/>
  <c r="A371" i="1" s="1"/>
  <c r="M371" i="1" s="1"/>
  <c r="D372" i="1" a="1"/>
  <c r="D372" i="1"/>
  <c r="A372" i="1" s="1"/>
  <c r="M372" i="1" s="1"/>
  <c r="D373" i="1" a="1"/>
  <c r="D373" i="1" s="1"/>
  <c r="A373" i="1" s="1"/>
  <c r="M373" i="1" s="1"/>
  <c r="D374" i="1" a="1"/>
  <c r="D374" i="1"/>
  <c r="A374" i="1" s="1"/>
  <c r="M374" i="1" s="1"/>
  <c r="D375" i="1" a="1"/>
  <c r="D375" i="1" s="1"/>
  <c r="A375" i="1" s="1"/>
  <c r="M375" i="1" s="1"/>
  <c r="D376" i="1" a="1"/>
  <c r="D376" i="1" s="1"/>
  <c r="A376" i="1" s="1"/>
  <c r="M376" i="1" s="1"/>
  <c r="D377" i="1" a="1"/>
  <c r="D377" i="1" s="1"/>
  <c r="A377" i="1" s="1"/>
  <c r="M377" i="1" s="1"/>
  <c r="D378" i="1" a="1"/>
  <c r="D378" i="1" s="1"/>
  <c r="A378" i="1" s="1"/>
  <c r="M378" i="1" s="1"/>
  <c r="D379" i="1" a="1"/>
  <c r="D379" i="1" s="1"/>
  <c r="A379" i="1" s="1"/>
  <c r="M379" i="1" s="1"/>
  <c r="D380" i="1" a="1"/>
  <c r="D380" i="1" s="1"/>
  <c r="A380" i="1" s="1"/>
  <c r="M380" i="1" s="1"/>
  <c r="D381" i="1" a="1"/>
  <c r="D381" i="1" s="1"/>
  <c r="A381" i="1" s="1"/>
  <c r="M381" i="1" s="1"/>
  <c r="D382" i="1" a="1"/>
  <c r="D382" i="1" s="1"/>
  <c r="A382" i="1" s="1"/>
  <c r="M382" i="1" s="1"/>
  <c r="D383" i="1" a="1"/>
  <c r="D383" i="1"/>
  <c r="A383" i="1" s="1"/>
  <c r="M383" i="1" s="1"/>
  <c r="D384" i="1" a="1"/>
  <c r="D384" i="1" s="1"/>
  <c r="A384" i="1" s="1"/>
  <c r="M384" i="1" s="1"/>
  <c r="D385" i="1" a="1"/>
  <c r="D385" i="1" s="1"/>
  <c r="A385" i="1" s="1"/>
  <c r="M385" i="1" s="1"/>
  <c r="D386" i="1" a="1"/>
  <c r="D386" i="1" s="1"/>
  <c r="A386" i="1" s="1"/>
  <c r="M386" i="1" s="1"/>
  <c r="D387" i="1" a="1"/>
  <c r="D387" i="1" s="1"/>
  <c r="A387" i="1" s="1"/>
  <c r="M387" i="1" s="1"/>
  <c r="D388" i="1" a="1"/>
  <c r="D388" i="1" s="1"/>
  <c r="A388" i="1" s="1"/>
  <c r="M388" i="1" s="1"/>
  <c r="D389" i="1" a="1"/>
  <c r="D389" i="1"/>
  <c r="A389" i="1" s="1"/>
  <c r="M389" i="1" s="1"/>
  <c r="D390" i="1" a="1"/>
  <c r="D390" i="1"/>
  <c r="A390" i="1" s="1"/>
  <c r="M390" i="1" s="1"/>
  <c r="D391" i="1" a="1"/>
  <c r="D391" i="1"/>
  <c r="A391" i="1" s="1"/>
  <c r="M391" i="1" s="1"/>
  <c r="D392" i="1" a="1"/>
  <c r="D392" i="1" s="1"/>
  <c r="A392" i="1" s="1"/>
  <c r="M392" i="1" s="1"/>
  <c r="D393" i="1" a="1"/>
  <c r="D393" i="1" s="1"/>
  <c r="A393" i="1" s="1"/>
  <c r="M393" i="1" s="1"/>
  <c r="D394" i="1" a="1"/>
  <c r="D394" i="1" s="1"/>
  <c r="A394" i="1" s="1"/>
  <c r="M394" i="1" s="1"/>
  <c r="D395" i="1" a="1"/>
  <c r="D395" i="1" s="1"/>
  <c r="A395" i="1" s="1"/>
  <c r="M395" i="1" s="1"/>
  <c r="D396" i="1" a="1"/>
  <c r="D396" i="1" s="1"/>
  <c r="A396" i="1" s="1"/>
  <c r="M396" i="1" s="1"/>
  <c r="D397" i="1" a="1"/>
  <c r="D397" i="1" s="1"/>
  <c r="A397" i="1" s="1"/>
  <c r="M397" i="1" s="1"/>
  <c r="D398" i="1" a="1"/>
  <c r="D398" i="1"/>
  <c r="A398" i="1" s="1"/>
  <c r="M398" i="1" s="1"/>
  <c r="D399" i="1" a="1"/>
  <c r="D399" i="1" s="1"/>
  <c r="A399" i="1" s="1"/>
  <c r="M399" i="1" s="1"/>
  <c r="D400" i="1" a="1"/>
  <c r="D400" i="1" s="1"/>
  <c r="A400" i="1" s="1"/>
  <c r="M400" i="1" s="1"/>
  <c r="D401" i="1" a="1"/>
  <c r="D401" i="1" s="1"/>
  <c r="A401" i="1" s="1"/>
  <c r="M401" i="1" s="1"/>
  <c r="D402" i="1" a="1"/>
  <c r="D402" i="1" s="1"/>
  <c r="A402" i="1" s="1"/>
  <c r="M402" i="1" s="1"/>
  <c r="D403" i="1" a="1"/>
  <c r="D403" i="1" s="1"/>
  <c r="A403" i="1" s="1"/>
  <c r="M403" i="1" s="1"/>
  <c r="D404" i="1" a="1"/>
  <c r="D404" i="1"/>
  <c r="A404" i="1" s="1"/>
  <c r="M404" i="1" s="1"/>
  <c r="D405" i="1" a="1"/>
  <c r="D405" i="1" s="1"/>
  <c r="A405" i="1" s="1"/>
  <c r="M405" i="1" s="1"/>
  <c r="D406" i="1" a="1"/>
  <c r="D406" i="1" s="1"/>
  <c r="A406" i="1" s="1"/>
  <c r="M406" i="1" s="1"/>
  <c r="D407" i="1" a="1"/>
  <c r="D407" i="1" s="1"/>
  <c r="A407" i="1" s="1"/>
  <c r="M407" i="1" s="1"/>
  <c r="D408" i="1" a="1"/>
  <c r="D408" i="1"/>
  <c r="A408" i="1" s="1"/>
  <c r="M408" i="1" s="1"/>
  <c r="D409" i="1" a="1"/>
  <c r="D409" i="1"/>
  <c r="A409" i="1" s="1"/>
  <c r="M409" i="1" s="1"/>
  <c r="D410" i="1" a="1"/>
  <c r="D410" i="1" s="1"/>
  <c r="A410" i="1" s="1"/>
  <c r="M410" i="1" s="1"/>
  <c r="D411" i="1" a="1"/>
  <c r="D411" i="1" s="1"/>
  <c r="A411" i="1" s="1"/>
  <c r="M411" i="1" s="1"/>
  <c r="D412" i="1" a="1"/>
  <c r="D412" i="1" s="1"/>
  <c r="A412" i="1" s="1"/>
  <c r="M412" i="1" s="1"/>
  <c r="D413" i="1" a="1"/>
  <c r="D413" i="1"/>
  <c r="A413" i="1" s="1"/>
  <c r="M413" i="1" s="1"/>
  <c r="D414" i="1" a="1"/>
  <c r="D414" i="1" s="1"/>
  <c r="A414" i="1" s="1"/>
  <c r="M414" i="1" s="1"/>
  <c r="D415" i="1" a="1"/>
  <c r="D415" i="1"/>
  <c r="A415" i="1" s="1"/>
  <c r="M415" i="1" s="1"/>
  <c r="D416" i="1" a="1"/>
  <c r="D416" i="1"/>
  <c r="A416" i="1" s="1"/>
  <c r="M416" i="1" s="1"/>
  <c r="D417" i="1" a="1"/>
  <c r="D417" i="1" s="1"/>
  <c r="A417" i="1" s="1"/>
  <c r="M417" i="1" s="1"/>
  <c r="D418" i="1" a="1"/>
  <c r="D418" i="1" s="1"/>
  <c r="A418" i="1" s="1"/>
  <c r="M418" i="1" s="1"/>
  <c r="D419" i="1" a="1"/>
  <c r="D419" i="1" s="1"/>
  <c r="A419" i="1" s="1"/>
  <c r="M419" i="1" s="1"/>
  <c r="D420" i="1" a="1"/>
  <c r="D420" i="1"/>
  <c r="A420" i="1" s="1"/>
  <c r="M420" i="1" s="1"/>
  <c r="D421" i="1" a="1"/>
  <c r="D421" i="1" s="1"/>
  <c r="A421" i="1" s="1"/>
  <c r="M421" i="1" s="1"/>
  <c r="D422" i="1" a="1"/>
  <c r="D422" i="1" s="1"/>
  <c r="A422" i="1" s="1"/>
  <c r="M422" i="1" s="1"/>
  <c r="D423" i="1" a="1"/>
  <c r="D423" i="1" s="1"/>
  <c r="A423" i="1" s="1"/>
  <c r="M423" i="1" s="1"/>
  <c r="D424" i="1" a="1"/>
  <c r="D424" i="1" s="1"/>
  <c r="A424" i="1" s="1"/>
  <c r="M424" i="1" s="1"/>
  <c r="D425" i="1" a="1"/>
  <c r="D425" i="1"/>
  <c r="A425" i="1" s="1"/>
  <c r="M425" i="1" s="1"/>
  <c r="D426" i="1" a="1"/>
  <c r="D426" i="1" s="1"/>
  <c r="A426" i="1" s="1"/>
  <c r="M426" i="1" s="1"/>
  <c r="D427" i="1" a="1"/>
  <c r="D427" i="1"/>
  <c r="A427" i="1" s="1"/>
  <c r="M427" i="1" s="1"/>
  <c r="D428" i="1" a="1"/>
  <c r="D428" i="1" s="1"/>
  <c r="A428" i="1" s="1"/>
  <c r="M428" i="1" s="1"/>
  <c r="D429" i="1" a="1"/>
  <c r="D429" i="1" s="1"/>
  <c r="A429" i="1" s="1"/>
  <c r="M429" i="1" s="1"/>
  <c r="D430" i="1" a="1"/>
  <c r="D430" i="1" s="1"/>
  <c r="A430" i="1" s="1"/>
  <c r="M430" i="1" s="1"/>
  <c r="D431" i="1" a="1"/>
  <c r="D431" i="1"/>
  <c r="A431" i="1" s="1"/>
  <c r="M431" i="1" s="1"/>
  <c r="D432" i="1" a="1"/>
  <c r="D432" i="1" s="1"/>
  <c r="A432" i="1" s="1"/>
  <c r="M432" i="1" s="1"/>
  <c r="D433" i="1" a="1"/>
  <c r="D433" i="1" s="1"/>
  <c r="A433" i="1" s="1"/>
  <c r="M433" i="1" s="1"/>
  <c r="D434" i="1" a="1"/>
  <c r="D434" i="1" s="1"/>
  <c r="A434" i="1" s="1"/>
  <c r="M434" i="1" s="1"/>
  <c r="D435" i="1" a="1"/>
  <c r="D435" i="1" s="1"/>
  <c r="A435" i="1" s="1"/>
  <c r="M435" i="1" s="1"/>
  <c r="D436" i="1" a="1"/>
  <c r="D436" i="1" s="1"/>
  <c r="A436" i="1" s="1"/>
  <c r="M436" i="1" s="1"/>
  <c r="D437" i="1" a="1"/>
  <c r="D437" i="1"/>
  <c r="A437" i="1" s="1"/>
  <c r="M437" i="1" s="1"/>
  <c r="D438" i="1" a="1"/>
  <c r="D438" i="1"/>
  <c r="A438" i="1" s="1"/>
  <c r="M438" i="1" s="1"/>
  <c r="D439" i="1" a="1"/>
  <c r="D439" i="1"/>
  <c r="A439" i="1" s="1"/>
  <c r="M439" i="1" s="1"/>
  <c r="D440" i="1" a="1"/>
  <c r="D440" i="1" s="1"/>
  <c r="A440" i="1" s="1"/>
  <c r="M440" i="1" s="1"/>
  <c r="D441" i="1" a="1"/>
  <c r="D441" i="1" s="1"/>
  <c r="A441" i="1" s="1"/>
  <c r="M441" i="1" s="1"/>
  <c r="D442" i="1" a="1"/>
  <c r="D442" i="1" s="1"/>
  <c r="A442" i="1" s="1"/>
  <c r="M442" i="1" s="1"/>
  <c r="D443" i="1" a="1"/>
  <c r="D443" i="1" s="1"/>
  <c r="A443" i="1" s="1"/>
  <c r="M443" i="1" s="1"/>
  <c r="D444" i="1" a="1"/>
  <c r="D444" i="1" s="1"/>
  <c r="A444" i="1" s="1"/>
  <c r="M444" i="1" s="1"/>
  <c r="D445" i="1" a="1"/>
  <c r="D445" i="1"/>
  <c r="A445" i="1" s="1"/>
  <c r="M445" i="1" s="1"/>
  <c r="D446" i="1" a="1"/>
  <c r="D446" i="1"/>
  <c r="A446" i="1" s="1"/>
  <c r="M446" i="1" s="1"/>
  <c r="D447" i="1" a="1"/>
  <c r="D447" i="1" s="1"/>
  <c r="A447" i="1" s="1"/>
  <c r="M447" i="1" s="1"/>
  <c r="D448" i="1" a="1"/>
  <c r="D448" i="1" s="1"/>
  <c r="A448" i="1" s="1"/>
  <c r="M448" i="1" s="1"/>
  <c r="D449" i="1" a="1"/>
  <c r="D449" i="1" s="1"/>
  <c r="A449" i="1" s="1"/>
  <c r="M449" i="1" s="1"/>
  <c r="D450" i="1" a="1"/>
  <c r="D450" i="1" s="1"/>
  <c r="A450" i="1" s="1"/>
  <c r="M450" i="1" s="1"/>
  <c r="D451" i="1" a="1"/>
  <c r="D451" i="1" s="1"/>
  <c r="A451" i="1" s="1"/>
  <c r="M451" i="1" s="1"/>
  <c r="D452" i="1" a="1"/>
  <c r="D452" i="1"/>
  <c r="A452" i="1" s="1"/>
  <c r="M452" i="1" s="1"/>
  <c r="D453" i="1" a="1"/>
  <c r="D453" i="1" s="1"/>
  <c r="A453" i="1" s="1"/>
  <c r="M453" i="1" s="1"/>
  <c r="D454" i="1" a="1"/>
  <c r="D454" i="1"/>
  <c r="A454" i="1" s="1"/>
  <c r="M454" i="1" s="1"/>
  <c r="D455" i="1" a="1"/>
  <c r="D455" i="1"/>
  <c r="A455" i="1" s="1"/>
  <c r="M455" i="1" s="1"/>
  <c r="D456" i="1" a="1"/>
  <c r="D456" i="1" s="1"/>
  <c r="A456" i="1" s="1"/>
  <c r="M456" i="1" s="1"/>
  <c r="D457" i="1" a="1"/>
  <c r="D457" i="1" s="1"/>
  <c r="A457" i="1" s="1"/>
  <c r="M457" i="1" s="1"/>
  <c r="D458" i="1" a="1"/>
  <c r="D458" i="1"/>
  <c r="A458" i="1" s="1"/>
  <c r="M458" i="1" s="1"/>
  <c r="D459" i="1" a="1"/>
  <c r="D459" i="1" s="1"/>
  <c r="A459" i="1" s="1"/>
  <c r="M459" i="1" s="1"/>
  <c r="D460" i="1" a="1"/>
  <c r="D460" i="1"/>
  <c r="A460" i="1" s="1"/>
  <c r="M460" i="1" s="1"/>
  <c r="D461" i="1" a="1"/>
  <c r="D461" i="1"/>
  <c r="A461" i="1" s="1"/>
  <c r="M461" i="1" s="1"/>
  <c r="D462" i="1" a="1"/>
  <c r="D462" i="1" s="1"/>
  <c r="A462" i="1" s="1"/>
  <c r="M462" i="1" s="1"/>
  <c r="D463" i="1" a="1"/>
  <c r="D463" i="1" s="1"/>
  <c r="A463" i="1" s="1"/>
  <c r="M463" i="1" s="1"/>
  <c r="D464" i="1" a="1"/>
  <c r="D464" i="1" s="1"/>
  <c r="A464" i="1" s="1"/>
  <c r="M464" i="1" s="1"/>
  <c r="D465" i="1" a="1"/>
  <c r="D465" i="1" s="1"/>
  <c r="A465" i="1" s="1"/>
  <c r="M465" i="1" s="1"/>
  <c r="D466" i="1" a="1"/>
  <c r="D466" i="1" s="1"/>
  <c r="A466" i="1" s="1"/>
  <c r="M466" i="1" s="1"/>
  <c r="D467" i="1" a="1"/>
  <c r="D467" i="1" s="1"/>
  <c r="A467" i="1" s="1"/>
  <c r="M467" i="1" s="1"/>
  <c r="D468" i="1" a="1"/>
  <c r="D468" i="1"/>
  <c r="A468" i="1" s="1"/>
  <c r="M468" i="1" s="1"/>
  <c r="D469" i="1" a="1"/>
  <c r="D469" i="1" s="1"/>
  <c r="A469" i="1" s="1"/>
  <c r="M469" i="1" s="1"/>
  <c r="D470" i="1" a="1"/>
  <c r="D470" i="1" s="1"/>
  <c r="A470" i="1" s="1"/>
  <c r="M470" i="1" s="1"/>
  <c r="D471" i="1" a="1"/>
  <c r="D471" i="1" s="1"/>
  <c r="A471" i="1" s="1"/>
  <c r="M471" i="1" s="1"/>
  <c r="D472" i="1" a="1"/>
  <c r="D472" i="1"/>
  <c r="A472" i="1" s="1"/>
  <c r="M472" i="1" s="1"/>
  <c r="D473" i="1" a="1"/>
  <c r="D473" i="1" s="1"/>
  <c r="A473" i="1" s="1"/>
  <c r="M473" i="1" s="1"/>
  <c r="D474" i="1" a="1"/>
  <c r="D474" i="1" s="1"/>
  <c r="A474" i="1" s="1"/>
  <c r="M474" i="1" s="1"/>
  <c r="D475" i="1" a="1"/>
  <c r="D475" i="1"/>
  <c r="A475" i="1" s="1"/>
  <c r="M475" i="1" s="1"/>
  <c r="D476" i="1" a="1"/>
  <c r="D476" i="1" s="1"/>
  <c r="A476" i="1" s="1"/>
  <c r="M476" i="1" s="1"/>
  <c r="D477" i="1" a="1"/>
  <c r="D477" i="1" s="1"/>
  <c r="A477" i="1" s="1"/>
  <c r="M477" i="1" s="1"/>
  <c r="D478" i="1" a="1"/>
  <c r="D478" i="1" s="1"/>
  <c r="A478" i="1" s="1"/>
  <c r="M478" i="1" s="1"/>
  <c r="D479" i="1" a="1"/>
  <c r="D479" i="1"/>
  <c r="A479" i="1" s="1"/>
  <c r="M479" i="1" s="1"/>
  <c r="D480" i="1" a="1"/>
  <c r="D480" i="1"/>
  <c r="A480" i="1" s="1"/>
  <c r="M480" i="1" s="1"/>
  <c r="D481" i="1" a="1"/>
  <c r="D481" i="1" s="1"/>
  <c r="A481" i="1" s="1"/>
  <c r="M481" i="1" s="1"/>
  <c r="D482" i="1" a="1"/>
  <c r="D482" i="1" s="1"/>
  <c r="A482" i="1" s="1"/>
  <c r="M482" i="1" s="1"/>
  <c r="D483" i="1" a="1"/>
  <c r="D483" i="1" s="1"/>
  <c r="A483" i="1" s="1"/>
  <c r="M483" i="1" s="1"/>
  <c r="D484" i="1" a="1"/>
  <c r="D484" i="1"/>
  <c r="A484" i="1" s="1"/>
  <c r="M484" i="1" s="1"/>
  <c r="D485" i="1" a="1"/>
  <c r="D485" i="1" s="1"/>
  <c r="A485" i="1" s="1"/>
  <c r="M485" i="1" s="1"/>
  <c r="D486" i="1" a="1"/>
  <c r="D486" i="1"/>
  <c r="A486" i="1" s="1"/>
  <c r="M486" i="1" s="1"/>
  <c r="D487" i="1" a="1"/>
  <c r="D487" i="1"/>
  <c r="A487" i="1" s="1"/>
  <c r="M487" i="1" s="1"/>
  <c r="D488" i="1" a="1"/>
  <c r="D488" i="1" s="1"/>
  <c r="A488" i="1" s="1"/>
  <c r="M488" i="1" s="1"/>
  <c r="D489" i="1" a="1"/>
  <c r="D489" i="1" s="1"/>
  <c r="A489" i="1" s="1"/>
  <c r="M489" i="1" s="1"/>
  <c r="D490" i="1" a="1"/>
  <c r="D490" i="1" s="1"/>
  <c r="A490" i="1" s="1"/>
  <c r="M490" i="1" s="1"/>
  <c r="D491" i="1" a="1"/>
  <c r="D491" i="1" s="1"/>
  <c r="A491" i="1" s="1"/>
  <c r="M491" i="1" s="1"/>
  <c r="D492" i="1" a="1"/>
  <c r="D492" i="1" s="1"/>
  <c r="A492" i="1" s="1"/>
  <c r="M492" i="1" s="1"/>
  <c r="D493" i="1" a="1"/>
  <c r="D493" i="1"/>
  <c r="A493" i="1" s="1"/>
  <c r="M493" i="1" s="1"/>
  <c r="D494" i="1" a="1"/>
  <c r="D494" i="1"/>
  <c r="A494" i="1" s="1"/>
  <c r="M494" i="1" s="1"/>
  <c r="D495" i="1" a="1"/>
  <c r="D495" i="1" s="1"/>
  <c r="A495" i="1" s="1"/>
  <c r="M495" i="1" s="1"/>
  <c r="D496" i="1" a="1"/>
  <c r="D496" i="1" s="1"/>
  <c r="A496" i="1" s="1"/>
  <c r="M496" i="1" s="1"/>
  <c r="D497" i="1" a="1"/>
  <c r="D497" i="1" s="1"/>
  <c r="A497" i="1" s="1"/>
  <c r="M497" i="1" s="1"/>
  <c r="D498" i="1" a="1"/>
  <c r="D498" i="1" s="1"/>
  <c r="A498" i="1" s="1"/>
  <c r="M498" i="1" s="1"/>
  <c r="D499" i="1" a="1"/>
  <c r="D499" i="1" s="1"/>
  <c r="A499" i="1" s="1"/>
  <c r="M499" i="1" s="1"/>
  <c r="D500" i="1" a="1"/>
  <c r="D500" i="1"/>
  <c r="A500" i="1" s="1"/>
  <c r="M500" i="1" s="1"/>
  <c r="D501" i="1" a="1"/>
  <c r="D501" i="1" s="1"/>
  <c r="A501" i="1" s="1"/>
  <c r="M501" i="1" s="1"/>
  <c r="D502" i="1" a="1"/>
  <c r="D502" i="1" s="1"/>
  <c r="A502" i="1" s="1"/>
  <c r="M502" i="1" s="1"/>
  <c r="D503" i="1" a="1"/>
  <c r="D503" i="1"/>
  <c r="A503" i="1" s="1"/>
  <c r="M503" i="1" s="1"/>
  <c r="D504" i="1" a="1"/>
  <c r="D504" i="1"/>
  <c r="A504" i="1" s="1"/>
  <c r="M504" i="1" s="1"/>
  <c r="D505" i="1" a="1"/>
  <c r="D505" i="1" s="1"/>
  <c r="A505" i="1" s="1"/>
  <c r="M505" i="1" s="1"/>
  <c r="D506" i="1" a="1"/>
  <c r="D506" i="1" s="1"/>
  <c r="A506" i="1" s="1"/>
  <c r="M506" i="1" s="1"/>
  <c r="D507" i="1" a="1"/>
  <c r="D507" i="1" s="1"/>
  <c r="A507" i="1" s="1"/>
  <c r="M507" i="1" s="1"/>
  <c r="D508" i="1" a="1"/>
  <c r="D508" i="1" s="1"/>
  <c r="A508" i="1" s="1"/>
  <c r="M508" i="1" s="1"/>
  <c r="D509" i="1" a="1"/>
  <c r="D509" i="1" s="1"/>
  <c r="A509" i="1" s="1"/>
  <c r="M509" i="1" s="1"/>
  <c r="D510" i="1" a="1"/>
  <c r="D510" i="1"/>
  <c r="A510" i="1" s="1"/>
  <c r="M510" i="1" s="1"/>
  <c r="D511" i="1" a="1"/>
  <c r="D511" i="1"/>
  <c r="A511" i="1" s="1"/>
  <c r="M511" i="1" s="1"/>
  <c r="D512" i="1" a="1"/>
  <c r="D512" i="1" s="1"/>
  <c r="A512" i="1" s="1"/>
  <c r="M512" i="1" s="1"/>
  <c r="D513" i="1" a="1"/>
  <c r="D513" i="1" s="1"/>
  <c r="A513" i="1" s="1"/>
  <c r="M513" i="1" s="1"/>
  <c r="D514" i="1" a="1"/>
  <c r="D514" i="1" s="1"/>
  <c r="A514" i="1" s="1"/>
  <c r="M514" i="1" s="1"/>
  <c r="D515" i="1" a="1"/>
  <c r="D515" i="1" s="1"/>
  <c r="A515" i="1" s="1"/>
  <c r="M515" i="1" s="1"/>
  <c r="D516" i="1" a="1"/>
  <c r="D516" i="1"/>
  <c r="A516" i="1" s="1"/>
  <c r="M516" i="1" s="1"/>
  <c r="D517" i="1" a="1"/>
  <c r="D517" i="1" s="1"/>
  <c r="A517" i="1" s="1"/>
  <c r="M517" i="1" s="1"/>
  <c r="D518" i="1" a="1"/>
  <c r="D518" i="1" s="1"/>
  <c r="A518" i="1" s="1"/>
  <c r="M518" i="1" s="1"/>
  <c r="D519" i="1" a="1"/>
  <c r="D519" i="1"/>
  <c r="A519" i="1" s="1"/>
  <c r="M519" i="1" s="1"/>
  <c r="D520" i="1" a="1"/>
  <c r="D520" i="1" s="1"/>
  <c r="A520" i="1" s="1"/>
  <c r="M520" i="1" s="1"/>
  <c r="D521" i="1" a="1"/>
  <c r="D521" i="1" s="1"/>
  <c r="A521" i="1" s="1"/>
  <c r="M521" i="1" s="1"/>
  <c r="D522" i="1" a="1"/>
  <c r="D522" i="1"/>
  <c r="A522" i="1" s="1"/>
  <c r="M522" i="1" s="1"/>
  <c r="D523" i="1" a="1"/>
  <c r="D523" i="1"/>
  <c r="A523" i="1" s="1"/>
  <c r="M523" i="1" s="1"/>
  <c r="D524" i="1" a="1"/>
  <c r="D524" i="1" s="1"/>
  <c r="A524" i="1" s="1"/>
  <c r="M524" i="1" s="1"/>
  <c r="D525" i="1" a="1"/>
  <c r="D525" i="1" s="1"/>
  <c r="A525" i="1" s="1"/>
  <c r="M525" i="1" s="1"/>
  <c r="D526" i="1" a="1"/>
  <c r="D526" i="1" s="1"/>
  <c r="A526" i="1" s="1"/>
  <c r="M526" i="1" s="1"/>
  <c r="D527" i="1" a="1"/>
  <c r="D527" i="1" s="1"/>
  <c r="A527" i="1" s="1"/>
  <c r="M527" i="1" s="1"/>
  <c r="D528" i="1" a="1"/>
  <c r="D528" i="1" s="1"/>
  <c r="A528" i="1" s="1"/>
  <c r="M528" i="1" s="1"/>
  <c r="D529" i="1" a="1"/>
  <c r="D529" i="1"/>
  <c r="A529" i="1" s="1"/>
  <c r="M529" i="1" s="1"/>
  <c r="D530" i="1" a="1"/>
  <c r="D530" i="1"/>
  <c r="A530" i="1" s="1"/>
  <c r="M530" i="1" s="1"/>
  <c r="D531" i="1" a="1"/>
  <c r="D531" i="1" s="1"/>
  <c r="A531" i="1" s="1"/>
  <c r="M531" i="1" s="1"/>
  <c r="D532" i="1" a="1"/>
  <c r="D532" i="1"/>
  <c r="A532" i="1" s="1"/>
  <c r="M532" i="1" s="1"/>
  <c r="D533" i="1" a="1"/>
  <c r="D533" i="1" s="1"/>
  <c r="D534" i="1" a="1"/>
  <c r="D534" i="1" s="1"/>
  <c r="A534" i="1" s="1"/>
  <c r="M534" i="1" s="1"/>
  <c r="D535" i="1" a="1"/>
  <c r="D535" i="1" s="1"/>
  <c r="A535" i="1" s="1"/>
  <c r="M535" i="1" s="1"/>
  <c r="D536" i="1" a="1"/>
  <c r="D536" i="1"/>
  <c r="A536" i="1" s="1"/>
  <c r="M536" i="1" s="1"/>
  <c r="D537" i="1" a="1"/>
  <c r="D537" i="1"/>
  <c r="A537" i="1" s="1"/>
  <c r="M537" i="1" s="1"/>
  <c r="D538" i="1" a="1"/>
  <c r="D538" i="1" s="1"/>
  <c r="A538" i="1" s="1"/>
  <c r="M538" i="1" s="1"/>
  <c r="D539" i="1" a="1"/>
  <c r="D539" i="1" s="1"/>
  <c r="A539" i="1" s="1"/>
  <c r="M539" i="1" s="1"/>
  <c r="D540" i="1" a="1"/>
  <c r="D540" i="1"/>
  <c r="A540" i="1" s="1"/>
  <c r="M540" i="1" s="1"/>
  <c r="D541" i="1" a="1"/>
  <c r="D541" i="1"/>
  <c r="A541" i="1" s="1"/>
  <c r="M541" i="1" s="1"/>
  <c r="D542" i="1" a="1"/>
  <c r="D542" i="1" s="1"/>
  <c r="A542" i="1" s="1"/>
  <c r="M542" i="1" s="1"/>
  <c r="D543" i="1" a="1"/>
  <c r="D543" i="1"/>
  <c r="A543" i="1" s="1"/>
  <c r="M543" i="1" s="1"/>
  <c r="D544" i="1" a="1"/>
  <c r="D544" i="1"/>
  <c r="A544" i="1" s="1"/>
  <c r="M544" i="1" s="1"/>
  <c r="D545" i="1" a="1"/>
  <c r="D545" i="1" s="1"/>
  <c r="A545" i="1" s="1"/>
  <c r="M545" i="1" s="1"/>
  <c r="D546" i="1" a="1"/>
  <c r="D546" i="1" s="1"/>
  <c r="A546" i="1" s="1"/>
  <c r="M546" i="1" s="1"/>
  <c r="D547" i="1" a="1"/>
  <c r="D547" i="1"/>
  <c r="A547" i="1" s="1"/>
  <c r="M547" i="1" s="1"/>
  <c r="D548" i="1" a="1"/>
  <c r="D548" i="1" s="1"/>
  <c r="A548" i="1" s="1"/>
  <c r="M548" i="1" s="1"/>
  <c r="D549" i="1" a="1"/>
  <c r="D549" i="1" s="1"/>
  <c r="A549" i="1" s="1"/>
  <c r="M549" i="1" s="1"/>
  <c r="D550" i="1" a="1"/>
  <c r="D550" i="1"/>
  <c r="A550" i="1" s="1"/>
  <c r="M550" i="1" s="1"/>
  <c r="D551" i="1" a="1"/>
  <c r="D551" i="1" s="1"/>
  <c r="A551" i="1" s="1"/>
  <c r="M551" i="1" s="1"/>
  <c r="D552" i="1" a="1"/>
  <c r="D552" i="1" s="1"/>
  <c r="A552" i="1" s="1"/>
  <c r="M552" i="1" s="1"/>
  <c r="D553" i="1" a="1"/>
  <c r="D553" i="1"/>
  <c r="A553" i="1" s="1"/>
  <c r="M553" i="1" s="1"/>
  <c r="D554" i="1" a="1"/>
  <c r="D554" i="1"/>
  <c r="A554" i="1" s="1"/>
  <c r="M554" i="1" s="1"/>
  <c r="D555" i="1" a="1"/>
  <c r="D555" i="1" s="1"/>
  <c r="A555" i="1" s="1"/>
  <c r="M555" i="1" s="1"/>
  <c r="D556" i="1" a="1"/>
  <c r="D556" i="1" s="1"/>
  <c r="A556" i="1" s="1"/>
  <c r="M556" i="1" s="1"/>
  <c r="D557" i="1" a="1"/>
  <c r="D557" i="1" s="1"/>
  <c r="A557" i="1" s="1"/>
  <c r="M557" i="1" s="1"/>
  <c r="D558" i="1" a="1"/>
  <c r="D558" i="1" s="1"/>
  <c r="A558" i="1" s="1"/>
  <c r="M558" i="1" s="1"/>
  <c r="D559" i="1" a="1"/>
  <c r="D559" i="1" s="1"/>
  <c r="A559" i="1" s="1"/>
  <c r="M559" i="1" s="1"/>
  <c r="D560" i="1" a="1"/>
  <c r="D560" i="1"/>
  <c r="A560" i="1" s="1"/>
  <c r="M560" i="1" s="1"/>
  <c r="D561" i="1" a="1"/>
  <c r="D561" i="1"/>
  <c r="A561" i="1" s="1"/>
  <c r="M561" i="1" s="1"/>
  <c r="D562" i="1" a="1"/>
  <c r="D562" i="1"/>
  <c r="A562" i="1" s="1"/>
  <c r="M562" i="1" s="1"/>
  <c r="D563" i="1" a="1"/>
  <c r="D563" i="1" s="1"/>
  <c r="A563" i="1" s="1"/>
  <c r="M563" i="1" s="1"/>
  <c r="D564" i="1" a="1"/>
  <c r="D564" i="1" s="1"/>
  <c r="A564" i="1" s="1"/>
  <c r="M564" i="1" s="1"/>
  <c r="D565" i="1" a="1"/>
  <c r="D565" i="1" s="1"/>
  <c r="A565" i="1" s="1"/>
  <c r="M565" i="1" s="1"/>
  <c r="D566" i="1" a="1"/>
  <c r="D566" i="1" s="1"/>
  <c r="A566" i="1" s="1"/>
  <c r="M566" i="1" s="1"/>
  <c r="D567" i="1" a="1"/>
  <c r="D567" i="1"/>
  <c r="A567" i="1" s="1"/>
  <c r="M567" i="1" s="1"/>
  <c r="D568" i="1" a="1"/>
  <c r="D568" i="1"/>
  <c r="A568" i="1" s="1"/>
  <c r="M568" i="1" s="1"/>
  <c r="D569" i="1" a="1"/>
  <c r="D569" i="1" s="1"/>
  <c r="A569" i="1" s="1"/>
  <c r="M569" i="1" s="1"/>
  <c r="D570" i="1" a="1"/>
  <c r="D570" i="1" s="1"/>
  <c r="A570" i="1" s="1"/>
  <c r="M570" i="1" s="1"/>
  <c r="D571" i="1" a="1"/>
  <c r="D571" i="1" s="1"/>
  <c r="A571" i="1" s="1"/>
  <c r="M571" i="1" s="1"/>
  <c r="D572" i="1" a="1"/>
  <c r="D572" i="1" s="1"/>
  <c r="A572" i="1" s="1"/>
  <c r="M572" i="1" s="1"/>
  <c r="D573" i="1" a="1"/>
  <c r="D573" i="1"/>
  <c r="A573" i="1" s="1"/>
  <c r="M573" i="1" s="1"/>
  <c r="D574" i="1" a="1"/>
  <c r="D574" i="1"/>
  <c r="A574" i="1" s="1"/>
  <c r="M574" i="1" s="1"/>
  <c r="D575" i="1" a="1"/>
  <c r="D575" i="1" s="1"/>
  <c r="A575" i="1" s="1"/>
  <c r="M575" i="1" s="1"/>
  <c r="D576" i="1" a="1"/>
  <c r="D576" i="1"/>
  <c r="A576" i="1" s="1"/>
  <c r="M576" i="1" s="1"/>
  <c r="D577" i="1" a="1"/>
  <c r="D577" i="1" s="1"/>
  <c r="A577" i="1" s="1"/>
  <c r="M577" i="1" s="1"/>
  <c r="D578" i="1" a="1"/>
  <c r="D578" i="1"/>
  <c r="A578" i="1" s="1"/>
  <c r="M578" i="1" s="1"/>
  <c r="D579" i="1" a="1"/>
  <c r="D579" i="1"/>
  <c r="A579" i="1" s="1"/>
  <c r="M579" i="1" s="1"/>
  <c r="D580" i="1" a="1"/>
  <c r="D580" i="1" s="1"/>
  <c r="A580" i="1" s="1"/>
  <c r="M580" i="1" s="1"/>
  <c r="D581" i="1" a="1"/>
  <c r="D581" i="1" s="1"/>
  <c r="A581" i="1" s="1"/>
  <c r="M581" i="1" s="1"/>
  <c r="D582" i="1" a="1"/>
  <c r="D582" i="1"/>
  <c r="A582" i="1" s="1"/>
  <c r="M582" i="1" s="1"/>
  <c r="D583" i="1" a="1"/>
  <c r="D583" i="1"/>
  <c r="A583" i="1" s="1"/>
  <c r="M583" i="1" s="1"/>
  <c r="D584" i="1" a="1"/>
  <c r="D584" i="1" s="1"/>
  <c r="A584" i="1" s="1"/>
  <c r="M584" i="1" s="1"/>
  <c r="D585" i="1" a="1"/>
  <c r="D585" i="1" s="1"/>
  <c r="A585" i="1" s="1"/>
  <c r="M585" i="1" s="1"/>
  <c r="D586" i="1" a="1"/>
  <c r="D586" i="1"/>
  <c r="A586" i="1" s="1"/>
  <c r="M586" i="1" s="1"/>
  <c r="D587" i="1" a="1"/>
  <c r="D587" i="1" s="1"/>
  <c r="A587" i="1" s="1"/>
  <c r="M587" i="1" s="1"/>
  <c r="D588" i="1" a="1"/>
  <c r="D588" i="1" s="1"/>
  <c r="A588" i="1" s="1"/>
  <c r="M588" i="1" s="1"/>
  <c r="D589" i="1" a="1"/>
  <c r="D589" i="1"/>
  <c r="A589" i="1" s="1"/>
  <c r="M589" i="1" s="1"/>
  <c r="D590" i="1" a="1"/>
  <c r="D590" i="1"/>
  <c r="A590" i="1" s="1"/>
  <c r="M590" i="1" s="1"/>
  <c r="D591" i="1" a="1"/>
  <c r="D591" i="1" s="1"/>
  <c r="A591" i="1" s="1"/>
  <c r="M591" i="1" s="1"/>
  <c r="D592" i="1" a="1"/>
  <c r="D592" i="1"/>
  <c r="A592" i="1" s="1"/>
  <c r="M592" i="1" s="1"/>
  <c r="D593" i="1" a="1"/>
  <c r="D593" i="1" s="1"/>
  <c r="A593" i="1" s="1"/>
  <c r="M593" i="1" s="1"/>
  <c r="D594" i="1" a="1"/>
  <c r="D594" i="1"/>
  <c r="A594" i="1" s="1"/>
  <c r="M594" i="1" s="1"/>
  <c r="D595" i="1" a="1"/>
  <c r="D595" i="1"/>
  <c r="A595" i="1" s="1"/>
  <c r="M595" i="1" s="1"/>
  <c r="D596" i="1" a="1"/>
  <c r="D596" i="1"/>
  <c r="A596" i="1" s="1"/>
  <c r="M596" i="1" s="1"/>
  <c r="D597" i="1" a="1"/>
  <c r="D597" i="1" s="1"/>
  <c r="A597" i="1" s="1"/>
  <c r="M597" i="1" s="1"/>
  <c r="D598" i="1" a="1"/>
  <c r="D598" i="1" s="1"/>
  <c r="A598" i="1" s="1"/>
  <c r="M598" i="1" s="1"/>
  <c r="D599" i="1" a="1"/>
  <c r="D599" i="1" s="1"/>
  <c r="A599" i="1" s="1"/>
  <c r="M599" i="1" s="1"/>
  <c r="D600" i="1" a="1"/>
  <c r="D600" i="1"/>
  <c r="A600" i="1" s="1"/>
  <c r="M600" i="1" s="1"/>
  <c r="D601" i="1" a="1"/>
  <c r="D601" i="1"/>
  <c r="A601" i="1" s="1"/>
  <c r="M601" i="1" s="1"/>
  <c r="D602" i="1" a="1"/>
  <c r="D602" i="1" s="1"/>
  <c r="A602" i="1" s="1"/>
  <c r="M602" i="1" s="1"/>
  <c r="D603" i="1" a="1"/>
  <c r="D603" i="1"/>
  <c r="A603" i="1" s="1"/>
  <c r="M603" i="1" s="1"/>
  <c r="D604" i="1" a="1"/>
  <c r="D604" i="1"/>
  <c r="D605" i="1" a="1"/>
  <c r="D605" i="1" s="1"/>
  <c r="A605" i="1" s="1"/>
  <c r="M605" i="1" s="1"/>
  <c r="D606" i="1" a="1"/>
  <c r="D606" i="1" s="1"/>
  <c r="A606" i="1" s="1"/>
  <c r="M606" i="1" s="1"/>
  <c r="D607" i="1" a="1"/>
  <c r="D607" i="1"/>
  <c r="A607" i="1" s="1"/>
  <c r="M607" i="1" s="1"/>
  <c r="D608" i="1" a="1"/>
  <c r="D608" i="1"/>
  <c r="A608" i="1" s="1"/>
  <c r="M608" i="1" s="1"/>
  <c r="D609" i="1" a="1"/>
  <c r="D609" i="1"/>
  <c r="A609" i="1" s="1"/>
  <c r="M609" i="1" s="1"/>
  <c r="D610" i="1" a="1"/>
  <c r="D610" i="1" s="1"/>
  <c r="A610" i="1" s="1"/>
  <c r="M610" i="1" s="1"/>
  <c r="D611" i="1" a="1"/>
  <c r="D611" i="1" s="1"/>
  <c r="A611" i="1" s="1"/>
  <c r="M611" i="1" s="1"/>
  <c r="D612" i="1" a="1"/>
  <c r="D612" i="1"/>
  <c r="A612" i="1" s="1"/>
  <c r="M612" i="1" s="1"/>
  <c r="D613" i="1" a="1"/>
  <c r="D613" i="1" s="1"/>
  <c r="A613" i="1" s="1"/>
  <c r="M613" i="1" s="1"/>
  <c r="D614" i="1" a="1"/>
  <c r="D614" i="1"/>
  <c r="A614" i="1" s="1"/>
  <c r="M614" i="1" s="1"/>
  <c r="D615" i="1" a="1"/>
  <c r="D615" i="1"/>
  <c r="A615" i="1" s="1"/>
  <c r="M615" i="1" s="1"/>
  <c r="D616" i="1" a="1"/>
  <c r="D616" i="1"/>
  <c r="A616" i="1" s="1"/>
  <c r="M616" i="1" s="1"/>
  <c r="D617" i="1" a="1"/>
  <c r="D617" i="1" s="1"/>
  <c r="A617" i="1" s="1"/>
  <c r="M617" i="1" s="1"/>
  <c r="D618" i="1" a="1"/>
  <c r="D618" i="1" s="1"/>
  <c r="A618" i="1" s="1"/>
  <c r="M618" i="1" s="1"/>
  <c r="D619" i="1" a="1"/>
  <c r="D619" i="1" s="1"/>
  <c r="A619" i="1" s="1"/>
  <c r="M619" i="1" s="1"/>
  <c r="D620" i="1" a="1"/>
  <c r="D620" i="1" s="1"/>
  <c r="A620" i="1" s="1"/>
  <c r="M620" i="1" s="1"/>
  <c r="D621" i="1" a="1"/>
  <c r="D621" i="1"/>
  <c r="A621" i="1" s="1"/>
  <c r="M621" i="1" s="1"/>
  <c r="D622" i="1" a="1"/>
  <c r="D622" i="1"/>
  <c r="A622" i="1" s="1"/>
  <c r="M622" i="1" s="1"/>
  <c r="D623" i="1" a="1"/>
  <c r="D623" i="1" s="1"/>
  <c r="A623" i="1" s="1"/>
  <c r="M623" i="1" s="1"/>
  <c r="D624" i="1" a="1"/>
  <c r="D624" i="1"/>
  <c r="A624" i="1" s="1"/>
  <c r="M624" i="1" s="1"/>
  <c r="D625" i="1" a="1"/>
  <c r="D625" i="1"/>
  <c r="A625" i="1" s="1"/>
  <c r="M625" i="1" s="1"/>
  <c r="D626" i="1" a="1"/>
  <c r="D626" i="1" s="1"/>
  <c r="A626" i="1" s="1"/>
  <c r="M626" i="1" s="1"/>
  <c r="D627" i="1" a="1"/>
  <c r="D627" i="1"/>
  <c r="A627" i="1" s="1"/>
  <c r="M627" i="1" s="1"/>
  <c r="D628" i="1" a="1"/>
  <c r="D628" i="1"/>
  <c r="A628" i="1" s="1"/>
  <c r="M628" i="1" s="1"/>
  <c r="D629" i="1" a="1"/>
  <c r="D629" i="1" s="1"/>
  <c r="A629" i="1" s="1"/>
  <c r="M629" i="1" s="1"/>
  <c r="D630" i="1" a="1"/>
  <c r="D630" i="1" s="1"/>
  <c r="A630" i="1" s="1"/>
  <c r="M630" i="1" s="1"/>
  <c r="D631" i="1" a="1"/>
  <c r="D631" i="1" s="1"/>
  <c r="A631" i="1" s="1"/>
  <c r="M631" i="1" s="1"/>
  <c r="D632" i="1" a="1"/>
  <c r="D632" i="1"/>
  <c r="A632" i="1" s="1"/>
  <c r="M632" i="1" s="1"/>
  <c r="D633" i="1" a="1"/>
  <c r="D633" i="1"/>
  <c r="A633" i="1" s="1"/>
  <c r="M633" i="1" s="1"/>
  <c r="D634" i="1" a="1"/>
  <c r="D634" i="1" s="1"/>
  <c r="A634" i="1" s="1"/>
  <c r="M634" i="1" s="1"/>
  <c r="D635" i="1" a="1"/>
  <c r="D635" i="1" s="1"/>
  <c r="A635" i="1" s="1"/>
  <c r="M635" i="1" s="1"/>
  <c r="D636" i="1" a="1"/>
  <c r="D636" i="1" s="1"/>
  <c r="A636" i="1" s="1"/>
  <c r="M636" i="1" s="1"/>
  <c r="D637" i="1" a="1"/>
  <c r="D637" i="1" s="1"/>
  <c r="A637" i="1" s="1"/>
  <c r="M637" i="1" s="1"/>
  <c r="D638" i="1" a="1"/>
  <c r="D638" i="1"/>
  <c r="A638" i="1" s="1"/>
  <c r="M638" i="1" s="1"/>
  <c r="D639" i="1" a="1"/>
  <c r="D639" i="1"/>
  <c r="A639" i="1" s="1"/>
  <c r="M639" i="1" s="1"/>
  <c r="D640" i="1" a="1"/>
  <c r="D640" i="1" s="1"/>
  <c r="A640" i="1" s="1"/>
  <c r="M640" i="1" s="1"/>
  <c r="D641" i="1" a="1"/>
  <c r="D641" i="1" s="1"/>
  <c r="A641" i="1" s="1"/>
  <c r="M641" i="1" s="1"/>
  <c r="D642" i="1" a="1"/>
  <c r="D642" i="1"/>
  <c r="A642" i="1" s="1"/>
  <c r="M642" i="1" s="1"/>
  <c r="D643" i="1" a="1"/>
  <c r="D643" i="1" s="1"/>
  <c r="A643" i="1" s="1"/>
  <c r="M643" i="1" s="1"/>
  <c r="D644" i="1" a="1"/>
  <c r="D644" i="1" s="1"/>
  <c r="A644" i="1" s="1"/>
  <c r="M644" i="1" s="1"/>
  <c r="D645" i="1" a="1"/>
  <c r="D645" i="1"/>
  <c r="A645" i="1" s="1"/>
  <c r="M645" i="1" s="1"/>
  <c r="D646" i="1" a="1"/>
  <c r="D646" i="1"/>
  <c r="A646" i="1" s="1"/>
  <c r="M646" i="1" s="1"/>
  <c r="D647" i="1" a="1"/>
  <c r="D647" i="1" s="1"/>
  <c r="A647" i="1" s="1"/>
  <c r="M647" i="1" s="1"/>
  <c r="D648" i="1" a="1"/>
  <c r="D648" i="1" s="1"/>
  <c r="A648" i="1" s="1"/>
  <c r="M648" i="1" s="1"/>
  <c r="D649" i="1" a="1"/>
  <c r="D649" i="1"/>
  <c r="A649" i="1" s="1"/>
  <c r="M649" i="1" s="1"/>
  <c r="D650" i="1" a="1"/>
  <c r="D650" i="1"/>
  <c r="A650" i="1" s="1"/>
  <c r="M650" i="1" s="1"/>
  <c r="D651" i="1" a="1"/>
  <c r="D651" i="1" s="1"/>
  <c r="A651" i="1" s="1"/>
  <c r="M651" i="1" s="1"/>
  <c r="D652" i="1" a="1"/>
  <c r="D652" i="1" s="1"/>
  <c r="A652" i="1" s="1"/>
  <c r="M652" i="1" s="1"/>
  <c r="D653" i="1" a="1"/>
  <c r="D653" i="1" s="1"/>
  <c r="A653" i="1" s="1"/>
  <c r="M653" i="1" s="1"/>
  <c r="D654" i="1" a="1"/>
  <c r="D654" i="1"/>
  <c r="A654" i="1" s="1"/>
  <c r="M654" i="1" s="1"/>
  <c r="D655" i="1" a="1"/>
  <c r="D655" i="1" s="1"/>
  <c r="A655" i="1" s="1"/>
  <c r="M655" i="1" s="1"/>
  <c r="D656" i="1" a="1"/>
  <c r="D656" i="1" s="1"/>
  <c r="A656" i="1" s="1"/>
  <c r="M656" i="1" s="1"/>
  <c r="D657" i="1" a="1"/>
  <c r="D657" i="1" s="1"/>
  <c r="A657" i="1" s="1"/>
  <c r="M657" i="1" s="1"/>
  <c r="D658" i="1" a="1"/>
  <c r="D658" i="1"/>
  <c r="A658" i="1" s="1"/>
  <c r="M658" i="1" s="1"/>
  <c r="D659" i="1" a="1"/>
  <c r="D659" i="1" s="1"/>
  <c r="A659" i="1" s="1"/>
  <c r="M659" i="1" s="1"/>
  <c r="D660" i="1" a="1"/>
  <c r="D660" i="1"/>
  <c r="A660" i="1" s="1"/>
  <c r="M660" i="1" s="1"/>
  <c r="D661" i="1" a="1"/>
  <c r="D661" i="1"/>
  <c r="A661" i="1" s="1"/>
  <c r="M661" i="1" s="1"/>
  <c r="D662" i="1" a="1"/>
  <c r="D662" i="1" s="1"/>
  <c r="A662" i="1" s="1"/>
  <c r="M662" i="1" s="1"/>
  <c r="D663" i="1" a="1"/>
  <c r="D663" i="1"/>
  <c r="A663" i="1" s="1"/>
  <c r="M663" i="1" s="1"/>
  <c r="D664" i="1" a="1"/>
  <c r="D664" i="1"/>
  <c r="A664" i="1" s="1"/>
  <c r="M664" i="1" s="1"/>
  <c r="D665" i="1" a="1"/>
  <c r="D665" i="1" s="1"/>
  <c r="A665" i="1" s="1"/>
  <c r="M665" i="1" s="1"/>
  <c r="D666" i="1" a="1"/>
  <c r="D666" i="1"/>
  <c r="A666" i="1" s="1"/>
  <c r="M666" i="1" s="1"/>
  <c r="D667" i="1" a="1"/>
  <c r="D667" i="1"/>
  <c r="A667" i="1" s="1"/>
  <c r="M667" i="1" s="1"/>
  <c r="D668" i="1" a="1"/>
  <c r="D668" i="1"/>
  <c r="A668" i="1" s="1"/>
  <c r="M668" i="1" s="1"/>
  <c r="D669" i="1" a="1"/>
  <c r="D669" i="1" s="1"/>
  <c r="A669" i="1" s="1"/>
  <c r="M669" i="1" s="1"/>
  <c r="D670" i="1" a="1"/>
  <c r="D670" i="1" s="1"/>
  <c r="A670" i="1" s="1"/>
  <c r="M670" i="1" s="1"/>
  <c r="D671" i="1" a="1"/>
  <c r="D671" i="1" s="1"/>
  <c r="A671" i="1" s="1"/>
  <c r="M671" i="1" s="1"/>
  <c r="D672" i="1" a="1"/>
  <c r="D672" i="1"/>
  <c r="A672" i="1" s="1"/>
  <c r="M672" i="1" s="1"/>
  <c r="D673" i="1" a="1"/>
  <c r="D673" i="1" s="1"/>
  <c r="A673" i="1" s="1"/>
  <c r="M673" i="1" s="1"/>
  <c r="D674" i="1" a="1"/>
  <c r="D674" i="1"/>
  <c r="A674" i="1" s="1"/>
  <c r="M674" i="1" s="1"/>
  <c r="D675" i="1" a="1"/>
  <c r="D675" i="1"/>
  <c r="A675" i="1" s="1"/>
  <c r="M675" i="1" s="1"/>
  <c r="D676" i="1" a="1"/>
  <c r="D676" i="1" s="1"/>
  <c r="A676" i="1" s="1"/>
  <c r="M676" i="1" s="1"/>
  <c r="D677" i="1" a="1"/>
  <c r="D677" i="1" s="1"/>
  <c r="A677" i="1" s="1"/>
  <c r="M677" i="1" s="1"/>
  <c r="D678" i="1" a="1"/>
  <c r="D678" i="1"/>
  <c r="A678" i="1" s="1"/>
  <c r="M678" i="1" s="1"/>
  <c r="D679" i="1" a="1"/>
  <c r="D679" i="1"/>
  <c r="A679" i="1" s="1"/>
  <c r="M679" i="1" s="1"/>
  <c r="D680" i="1" a="1"/>
  <c r="D680" i="1"/>
  <c r="A680" i="1" s="1"/>
  <c r="M680" i="1" s="1"/>
  <c r="D681" i="1" a="1"/>
  <c r="D681" i="1"/>
  <c r="A681" i="1" s="1"/>
  <c r="M681" i="1" s="1"/>
  <c r="D682" i="1" a="1"/>
  <c r="D682" i="1" s="1"/>
  <c r="A682" i="1" s="1"/>
  <c r="M682" i="1" s="1"/>
  <c r="D683" i="1" a="1"/>
  <c r="D683" i="1" s="1"/>
  <c r="A683" i="1" s="1"/>
  <c r="M683" i="1" s="1"/>
  <c r="D684" i="1" a="1"/>
  <c r="D684" i="1" s="1"/>
  <c r="A684" i="1" s="1"/>
  <c r="M684" i="1" s="1"/>
  <c r="D685" i="1" a="1"/>
  <c r="D685" i="1"/>
  <c r="A685" i="1" s="1"/>
  <c r="M685" i="1" s="1"/>
  <c r="D686" i="1" a="1"/>
  <c r="D686" i="1"/>
  <c r="A686" i="1" s="1"/>
  <c r="M686" i="1" s="1"/>
  <c r="D687" i="1" a="1"/>
  <c r="D687" i="1"/>
  <c r="A687" i="1" s="1"/>
  <c r="M687" i="1" s="1"/>
  <c r="D688" i="1" a="1"/>
  <c r="D688" i="1"/>
  <c r="A688" i="1" s="1"/>
  <c r="M688" i="1" s="1"/>
  <c r="D689" i="1" a="1"/>
  <c r="D689" i="1" s="1"/>
  <c r="A689" i="1" s="1"/>
  <c r="M689" i="1" s="1"/>
  <c r="D690" i="1" a="1"/>
  <c r="D690" i="1" s="1"/>
  <c r="A690" i="1" s="1"/>
  <c r="M690" i="1" s="1"/>
  <c r="D691" i="1" a="1"/>
  <c r="D691" i="1" s="1"/>
  <c r="A691" i="1" s="1"/>
  <c r="M691" i="1" s="1"/>
  <c r="D692" i="1" a="1"/>
  <c r="D692" i="1"/>
  <c r="A692" i="1" s="1"/>
  <c r="M692" i="1" s="1"/>
  <c r="D693" i="1" a="1"/>
  <c r="D693" i="1"/>
  <c r="A693" i="1" s="1"/>
  <c r="M693" i="1" s="1"/>
  <c r="D694" i="1" a="1"/>
  <c r="D694" i="1"/>
  <c r="A694" i="1" s="1"/>
  <c r="M694" i="1" s="1"/>
  <c r="D695" i="1" a="1"/>
  <c r="D695" i="1" s="1"/>
  <c r="A695" i="1" s="1"/>
  <c r="M695" i="1" s="1"/>
  <c r="D696" i="1" a="1"/>
  <c r="D696" i="1"/>
  <c r="A696" i="1" s="1"/>
  <c r="M696" i="1" s="1"/>
  <c r="D697" i="1" a="1"/>
  <c r="D697" i="1" s="1"/>
  <c r="A697" i="1" s="1"/>
  <c r="M697" i="1" s="1"/>
  <c r="D698" i="1" a="1"/>
  <c r="D698" i="1"/>
  <c r="A698" i="1" s="1"/>
  <c r="M698" i="1" s="1"/>
  <c r="D699" i="1" a="1"/>
  <c r="D699" i="1"/>
  <c r="A699" i="1" s="1"/>
  <c r="M699" i="1" s="1"/>
  <c r="D700" i="1" a="1"/>
  <c r="D700" i="1" s="1"/>
  <c r="A700" i="1" s="1"/>
  <c r="M700" i="1" s="1"/>
  <c r="D701" i="1" a="1"/>
  <c r="D701" i="1" s="1"/>
  <c r="A701" i="1" s="1"/>
  <c r="M701" i="1" s="1"/>
  <c r="D702" i="1" a="1"/>
  <c r="D702" i="1" s="1"/>
  <c r="A702" i="1" s="1"/>
  <c r="M702" i="1" s="1"/>
  <c r="D703" i="1" a="1"/>
  <c r="D703" i="1" s="1"/>
  <c r="A703" i="1" s="1"/>
  <c r="M703" i="1" s="1"/>
  <c r="D704" i="1" a="1"/>
  <c r="D704" i="1"/>
  <c r="A704" i="1" s="1"/>
  <c r="M704" i="1" s="1"/>
  <c r="D705" i="1" a="1"/>
  <c r="D705" i="1" s="1"/>
  <c r="A705" i="1" s="1"/>
  <c r="M705" i="1" s="1"/>
  <c r="D706" i="1" a="1"/>
  <c r="D706" i="1" s="1"/>
  <c r="A706" i="1" s="1"/>
  <c r="M706" i="1" s="1"/>
  <c r="D707" i="1" a="1"/>
  <c r="D707" i="1" s="1"/>
  <c r="A707" i="1" s="1"/>
  <c r="M707" i="1" s="1"/>
  <c r="D708" i="1" a="1"/>
  <c r="D708" i="1" s="1"/>
  <c r="A708" i="1" s="1"/>
  <c r="M708" i="1" s="1"/>
  <c r="D709" i="1" a="1"/>
  <c r="D709" i="1"/>
  <c r="A709" i="1" s="1"/>
  <c r="M709" i="1" s="1"/>
  <c r="D710" i="1" a="1"/>
  <c r="D710" i="1"/>
  <c r="A710" i="1" s="1"/>
  <c r="M710" i="1" s="1"/>
  <c r="D711" i="1" a="1"/>
  <c r="D711" i="1" s="1"/>
  <c r="A711" i="1" s="1"/>
  <c r="M711" i="1" s="1"/>
  <c r="D712" i="1" a="1"/>
  <c r="D712" i="1"/>
  <c r="A712" i="1" s="1"/>
  <c r="M712" i="1" s="1"/>
  <c r="D713" i="1" a="1"/>
  <c r="D713" i="1" s="1"/>
  <c r="A713" i="1" s="1"/>
  <c r="M713" i="1" s="1"/>
  <c r="D714" i="1" a="1"/>
  <c r="D714" i="1" s="1"/>
  <c r="A714" i="1" s="1"/>
  <c r="M714" i="1" s="1"/>
  <c r="D715" i="1" a="1"/>
  <c r="D715" i="1" s="1"/>
  <c r="A715" i="1" s="1"/>
  <c r="M715" i="1" s="1"/>
  <c r="D716" i="1" a="1"/>
  <c r="D716" i="1" s="1"/>
  <c r="A716" i="1" s="1"/>
  <c r="M716" i="1" s="1"/>
  <c r="D717" i="1" a="1"/>
  <c r="D717" i="1"/>
  <c r="A717" i="1" s="1"/>
  <c r="M717" i="1" s="1"/>
  <c r="D718" i="1" a="1"/>
  <c r="D718" i="1"/>
  <c r="A718" i="1" s="1"/>
  <c r="M718" i="1" s="1"/>
  <c r="D719" i="1" a="1"/>
  <c r="D719" i="1" s="1"/>
  <c r="A719" i="1" s="1"/>
  <c r="M719" i="1" s="1"/>
  <c r="D720" i="1" a="1"/>
  <c r="D720" i="1"/>
  <c r="A720" i="1" s="1"/>
  <c r="M720" i="1" s="1"/>
  <c r="D721" i="1" a="1"/>
  <c r="D721" i="1"/>
  <c r="A721" i="1" s="1"/>
  <c r="M721" i="1" s="1"/>
  <c r="D722" i="1" a="1"/>
  <c r="D722" i="1" s="1"/>
  <c r="A722" i="1" s="1"/>
  <c r="M722" i="1" s="1"/>
  <c r="D723" i="1" a="1"/>
  <c r="D723" i="1" s="1"/>
  <c r="A723" i="1" s="1"/>
  <c r="M723" i="1" s="1"/>
  <c r="D724" i="1" a="1"/>
  <c r="D724" i="1"/>
  <c r="A724" i="1" s="1"/>
  <c r="M724" i="1" s="1"/>
  <c r="D725" i="1" a="1"/>
  <c r="D725" i="1" s="1"/>
  <c r="A725" i="1" s="1"/>
  <c r="M725" i="1" s="1"/>
  <c r="D726" i="1" a="1"/>
  <c r="D726" i="1" s="1"/>
  <c r="A726" i="1" s="1"/>
  <c r="M726" i="1" s="1"/>
  <c r="D727" i="1" a="1"/>
  <c r="D727" i="1"/>
  <c r="A727" i="1" s="1"/>
  <c r="M727" i="1" s="1"/>
  <c r="D728" i="1" a="1"/>
  <c r="D728" i="1" s="1"/>
  <c r="A728" i="1" s="1"/>
  <c r="M728" i="1" s="1"/>
  <c r="D729" i="1" a="1"/>
  <c r="D729" i="1" s="1"/>
  <c r="A729" i="1" s="1"/>
  <c r="M729" i="1" s="1"/>
  <c r="D730" i="1" a="1"/>
  <c r="D730" i="1" s="1"/>
  <c r="A730" i="1" s="1"/>
  <c r="M730" i="1" s="1"/>
  <c r="D731" i="1" a="1"/>
  <c r="D731" i="1" s="1"/>
  <c r="A731" i="1" s="1"/>
  <c r="M731" i="1" s="1"/>
  <c r="D732" i="1" a="1"/>
  <c r="D732" i="1"/>
  <c r="A732" i="1" s="1"/>
  <c r="M732" i="1" s="1"/>
  <c r="D733" i="1" a="1"/>
  <c r="D733" i="1" s="1"/>
  <c r="A733" i="1" s="1"/>
  <c r="M733" i="1" s="1"/>
  <c r="D734" i="1" a="1"/>
  <c r="D734" i="1"/>
  <c r="A734" i="1" s="1"/>
  <c r="M734" i="1" s="1"/>
  <c r="D735" i="1" a="1"/>
  <c r="D735" i="1"/>
  <c r="A735" i="1" s="1"/>
  <c r="M735" i="1" s="1"/>
  <c r="D736" i="1" a="1"/>
  <c r="D736" i="1" s="1"/>
  <c r="A736" i="1" s="1"/>
  <c r="M736" i="1" s="1"/>
  <c r="D737" i="1" a="1"/>
  <c r="D737" i="1" s="1"/>
  <c r="A737" i="1" s="1"/>
  <c r="M737" i="1" s="1"/>
  <c r="D738" i="1" a="1"/>
  <c r="D738" i="1" s="1"/>
  <c r="A738" i="1" s="1"/>
  <c r="M738" i="1" s="1"/>
  <c r="D739" i="1" a="1"/>
  <c r="D739" i="1" s="1"/>
  <c r="A739" i="1" s="1"/>
  <c r="M739" i="1" s="1"/>
  <c r="D740" i="1" a="1"/>
  <c r="D740" i="1" s="1"/>
  <c r="A740" i="1" s="1"/>
  <c r="M740" i="1" s="1"/>
  <c r="D741" i="1" a="1"/>
  <c r="D741" i="1" s="1"/>
  <c r="A741" i="1" s="1"/>
  <c r="M741" i="1" s="1"/>
  <c r="D742" i="1" a="1"/>
  <c r="D742" i="1" s="1"/>
  <c r="A742" i="1" s="1"/>
  <c r="M742" i="1" s="1"/>
  <c r="D743" i="1" a="1"/>
  <c r="D743" i="1" s="1"/>
  <c r="A743" i="1" s="1"/>
  <c r="M743" i="1" s="1"/>
  <c r="D744" i="1" a="1"/>
  <c r="D744" i="1" s="1"/>
  <c r="A744" i="1" s="1"/>
  <c r="M744" i="1" s="1"/>
  <c r="D2" i="1" a="1"/>
  <c r="D2" i="1" s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<sst xmlns="http://schemas.openxmlformats.org/spreadsheetml/2006/main" count="3728" uniqueCount="1955">
  <si>
    <t>Day</t>
  </si>
  <si>
    <t>Month</t>
  </si>
  <si>
    <t>Year</t>
  </si>
  <si>
    <t>Time</t>
  </si>
  <si>
    <t>Hour</t>
  </si>
  <si>
    <t>Minute</t>
  </si>
  <si>
    <t>Type</t>
  </si>
  <si>
    <t>Amount</t>
  </si>
  <si>
    <t>Transaction ID</t>
  </si>
  <si>
    <t>UTR No</t>
  </si>
  <si>
    <t>Jun</t>
  </si>
  <si>
    <t>12:21 pm</t>
  </si>
  <si>
    <t>CREDIT</t>
  </si>
  <si>
    <t>T2606041221355161829716</t>
  </si>
  <si>
    <t>715741909645</t>
  </si>
  <si>
    <t>12:15 pm</t>
  </si>
  <si>
    <t>T2606041215111156347614</t>
  </si>
  <si>
    <t>615583898304</t>
  </si>
  <si>
    <t>12:11 pm</t>
  </si>
  <si>
    <t>T2606041211153569591018</t>
  </si>
  <si>
    <t>505160382629</t>
  </si>
  <si>
    <t>12:09 pm</t>
  </si>
  <si>
    <t>T2606041209133831420466</t>
  </si>
  <si>
    <t>773133580583</t>
  </si>
  <si>
    <t>12:08 pm</t>
  </si>
  <si>
    <t>T2606041208136359613496</t>
  </si>
  <si>
    <t>182491640711</t>
  </si>
  <si>
    <t>11:54 am</t>
  </si>
  <si>
    <t>T2606041154385085607417</t>
  </si>
  <si>
    <t>655002592367</t>
  </si>
  <si>
    <t>11:52 am</t>
  </si>
  <si>
    <t>T2606041152301183267330</t>
  </si>
  <si>
    <t>142782131195</t>
  </si>
  <si>
    <t>11:34 am</t>
  </si>
  <si>
    <t>T2606041134328918415160</t>
  </si>
  <si>
    <t>539358072416</t>
  </si>
  <si>
    <t>11:13 am</t>
  </si>
  <si>
    <t>T2606041113005555628762</t>
  </si>
  <si>
    <t>615579187257</t>
  </si>
  <si>
    <t>11:05 am</t>
  </si>
  <si>
    <t>T2606041105017723769625</t>
  </si>
  <si>
    <t>138773429325</t>
  </si>
  <si>
    <t>10:56 am</t>
  </si>
  <si>
    <t>T2606041056129671640488</t>
  </si>
  <si>
    <t>632043966584</t>
  </si>
  <si>
    <t>10:50 am</t>
  </si>
  <si>
    <t>T2606041050417202636580</t>
  </si>
  <si>
    <t>332150869001</t>
  </si>
  <si>
    <t>10:43 am</t>
  </si>
  <si>
    <t>T2606041043424758331644</t>
  </si>
  <si>
    <t>915509537112</t>
  </si>
  <si>
    <t>10:39 am</t>
  </si>
  <si>
    <t>T2606041039433145423892</t>
  </si>
  <si>
    <t>652117873787</t>
  </si>
  <si>
    <t>10:32 am</t>
  </si>
  <si>
    <t>T2606041032230092636820</t>
  </si>
  <si>
    <t>585314408310</t>
  </si>
  <si>
    <t>10:16 am</t>
  </si>
  <si>
    <t>T2606041016219075607961</t>
  </si>
  <si>
    <t>652179693813</t>
  </si>
  <si>
    <t>10:05 am</t>
  </si>
  <si>
    <t>T2606041005464136735045</t>
  </si>
  <si>
    <t>151078062258</t>
  </si>
  <si>
    <t>09:59 am</t>
  </si>
  <si>
    <t>T2606040959367992060305</t>
  </si>
  <si>
    <t>253902648049</t>
  </si>
  <si>
    <t>09:56 am</t>
  </si>
  <si>
    <t>T2606040956266020106637</t>
  </si>
  <si>
    <t>465350781229</t>
  </si>
  <si>
    <t>09:27 am</t>
  </si>
  <si>
    <t>T2606040927436374153485</t>
  </si>
  <si>
    <t>062657995542</t>
  </si>
  <si>
    <t>09:22 am</t>
  </si>
  <si>
    <t>T2606040922408479615280</t>
  </si>
  <si>
    <t>124174339931</t>
  </si>
  <si>
    <t>09:17 am</t>
  </si>
  <si>
    <t>T2606040917478950110464</t>
  </si>
  <si>
    <t>124174133455</t>
  </si>
  <si>
    <t>08:56 am</t>
  </si>
  <si>
    <t>T2606040856400047609979</t>
  </si>
  <si>
    <t>615543776727</t>
  </si>
  <si>
    <t>T2606040856240654239997</t>
  </si>
  <si>
    <t>248751798800</t>
  </si>
  <si>
    <t>07:29 am</t>
  </si>
  <si>
    <t>DEBIT</t>
  </si>
  <si>
    <t>T2606040729467099473553</t>
  </si>
  <si>
    <t>091292426968</t>
  </si>
  <si>
    <t>06:46 am</t>
  </si>
  <si>
    <t>T2606040646383226473694</t>
  </si>
  <si>
    <t>884320987458</t>
  </si>
  <si>
    <t>06:38 pm</t>
  </si>
  <si>
    <t>T2606031838356476536210</t>
  </si>
  <si>
    <t>716795187448</t>
  </si>
  <si>
    <t>06:36 pm</t>
  </si>
  <si>
    <t>T2606031836413116925753</t>
  </si>
  <si>
    <t>762179100082</t>
  </si>
  <si>
    <t>06:02 pm</t>
  </si>
  <si>
    <t>T2606031802117331015687</t>
  </si>
  <si>
    <t>568213127950</t>
  </si>
  <si>
    <t>05:55 pm</t>
  </si>
  <si>
    <t>T2606031755073870182021</t>
  </si>
  <si>
    <t>124146914814</t>
  </si>
  <si>
    <t>05:49 pm</t>
  </si>
  <si>
    <t>T2606031749412341833979</t>
  </si>
  <si>
    <t>666940111480</t>
  </si>
  <si>
    <t>05:34 pm</t>
  </si>
  <si>
    <t>T2606031734482162052394</t>
  </si>
  <si>
    <t>956119905191</t>
  </si>
  <si>
    <t>05:21 pm</t>
  </si>
  <si>
    <t>T2606031721023036332378</t>
  </si>
  <si>
    <t>162174431892</t>
  </si>
  <si>
    <t>04:50 pm</t>
  </si>
  <si>
    <t>T2606031650500216246941</t>
  </si>
  <si>
    <t>576780178067</t>
  </si>
  <si>
    <t>04:34 pm</t>
  </si>
  <si>
    <t>T2606031634210671040065</t>
  </si>
  <si>
    <t>635368954915</t>
  </si>
  <si>
    <t>04:31 pm</t>
  </si>
  <si>
    <t>T2606031631391169649725</t>
  </si>
  <si>
    <t>902571159710</t>
  </si>
  <si>
    <t>04:21 pm</t>
  </si>
  <si>
    <t>T2606031621511781523333</t>
  </si>
  <si>
    <t>537329017696</t>
  </si>
  <si>
    <t>04:16 pm</t>
  </si>
  <si>
    <t>T2606031616186920182078</t>
  </si>
  <si>
    <t>288466266458</t>
  </si>
  <si>
    <t>03:59 pm</t>
  </si>
  <si>
    <t>T2606031559271896881399</t>
  </si>
  <si>
    <t>231368866590</t>
  </si>
  <si>
    <t>03:54 pm</t>
  </si>
  <si>
    <t>T2606031554412435161152</t>
  </si>
  <si>
    <t>615427063399</t>
  </si>
  <si>
    <t>03:47 pm</t>
  </si>
  <si>
    <t>T2606031547185396445912</t>
  </si>
  <si>
    <t>156305490522</t>
  </si>
  <si>
    <t>03:35 pm</t>
  </si>
  <si>
    <t>T2606031535274076497677</t>
  </si>
  <si>
    <t>615425824879</t>
  </si>
  <si>
    <t>03:11 pm</t>
  </si>
  <si>
    <t>T2606031511545087121011</t>
  </si>
  <si>
    <t>251540727232</t>
  </si>
  <si>
    <t>T2606031511309155982087</t>
  </si>
  <si>
    <t>992806621539</t>
  </si>
  <si>
    <t>03:05 pm</t>
  </si>
  <si>
    <t>T2606031505471359164283</t>
  </si>
  <si>
    <t>307327469291</t>
  </si>
  <si>
    <t>03:02 pm</t>
  </si>
  <si>
    <t>T2606031502461648024180</t>
  </si>
  <si>
    <t>759610231910</t>
  </si>
  <si>
    <t>02:52 pm</t>
  </si>
  <si>
    <t>T2606031452594572037130</t>
  </si>
  <si>
    <t>615472099517</t>
  </si>
  <si>
    <t>02:40 pm</t>
  </si>
  <si>
    <t>T2606031440397256258400</t>
  </si>
  <si>
    <t>279408732999</t>
  </si>
  <si>
    <t>02:22 pm</t>
  </si>
  <si>
    <t>T2606031422321676080304</t>
  </si>
  <si>
    <t>615421040251</t>
  </si>
  <si>
    <t>01:43 pm</t>
  </si>
  <si>
    <t>T2606031343479284868033</t>
  </si>
  <si>
    <t>390264580752</t>
  </si>
  <si>
    <t>01:17 pm</t>
  </si>
  <si>
    <t>T2606031317405362300457</t>
  </si>
  <si>
    <t>464748454142</t>
  </si>
  <si>
    <t>12:41 pm</t>
  </si>
  <si>
    <t>T2606031241293157931706</t>
  </si>
  <si>
    <t>603654553773</t>
  </si>
  <si>
    <t>12:30 pm</t>
  </si>
  <si>
    <t>T2606031230443744511876</t>
  </si>
  <si>
    <t>233877745329</t>
  </si>
  <si>
    <t>11:38 am</t>
  </si>
  <si>
    <t>T2606031138185122743779</t>
  </si>
  <si>
    <t>045974621039</t>
  </si>
  <si>
    <t>06:26 pm</t>
  </si>
  <si>
    <t>T2606021826054745384420</t>
  </si>
  <si>
    <t>849133245018</t>
  </si>
  <si>
    <t>06:14 pm</t>
  </si>
  <si>
    <t>T2606021814067221053018</t>
  </si>
  <si>
    <t>169069260867</t>
  </si>
  <si>
    <t>03:55 pm</t>
  </si>
  <si>
    <t>T2606021555181217043934</t>
  </si>
  <si>
    <t>071784387763</t>
  </si>
  <si>
    <t>03:52 pm</t>
  </si>
  <si>
    <t>T2606021552127171102243</t>
  </si>
  <si>
    <t>307953251343</t>
  </si>
  <si>
    <t>03:06 pm</t>
  </si>
  <si>
    <t>T2606021506525544258501</t>
  </si>
  <si>
    <t>615366471148</t>
  </si>
  <si>
    <t>T2606021452498866454983</t>
  </si>
  <si>
    <t>824679962749</t>
  </si>
  <si>
    <t>04:12 pm</t>
  </si>
  <si>
    <t>T2606011612327316563169</t>
  </si>
  <si>
    <t>763962988680</t>
  </si>
  <si>
    <t>12:52 pm</t>
  </si>
  <si>
    <t>T2606011252139456826059</t>
  </si>
  <si>
    <t>531958970441</t>
  </si>
  <si>
    <t>T2606011241282189576819</t>
  </si>
  <si>
    <t>327688827475</t>
  </si>
  <si>
    <t>12:33 pm</t>
  </si>
  <si>
    <t>T2606011233432569399866</t>
  </si>
  <si>
    <t>170077701475</t>
  </si>
  <si>
    <t>12:17 pm</t>
  </si>
  <si>
    <t>T2606011217269511931544</t>
  </si>
  <si>
    <t>090766119855</t>
  </si>
  <si>
    <t>07:54 am</t>
  </si>
  <si>
    <t>T2606010754127731178486</t>
  </si>
  <si>
    <t>963234353818</t>
  </si>
  <si>
    <t>May</t>
  </si>
  <si>
    <t>09:40 pm</t>
  </si>
  <si>
    <t>T2605312140367057547758</t>
  </si>
  <si>
    <t>774963339214</t>
  </si>
  <si>
    <t>07:29 pm</t>
  </si>
  <si>
    <t>T2605311929432966296972</t>
  </si>
  <si>
    <t>332056610792</t>
  </si>
  <si>
    <t>07:28 pm</t>
  </si>
  <si>
    <t>T2605311927589981102408</t>
  </si>
  <si>
    <t>861744963808</t>
  </si>
  <si>
    <t>03:38 pm</t>
  </si>
  <si>
    <t>T2605311538310948021969</t>
  </si>
  <si>
    <t>772747914486</t>
  </si>
  <si>
    <t>02:13 pm</t>
  </si>
  <si>
    <t>T2605311413011053330817</t>
  </si>
  <si>
    <t>141300997954</t>
  </si>
  <si>
    <t>06:14 am</t>
  </si>
  <si>
    <t>T2605310614092716198584</t>
  </si>
  <si>
    <t>478839408903</t>
  </si>
  <si>
    <t>12:07 am</t>
  </si>
  <si>
    <t>T2605310007248107523484</t>
  </si>
  <si>
    <t>919575146840</t>
  </si>
  <si>
    <t>07:48 pm</t>
  </si>
  <si>
    <t>T2605301948418684245595</t>
  </si>
  <si>
    <t>949177767930</t>
  </si>
  <si>
    <t>07:38 pm</t>
  </si>
  <si>
    <t>T2605301937571988138757</t>
  </si>
  <si>
    <t>478134639799</t>
  </si>
  <si>
    <t>07:34 pm</t>
  </si>
  <si>
    <t>T2605301934475927082509</t>
  </si>
  <si>
    <t>415112469098</t>
  </si>
  <si>
    <t>T2605301928044140731207</t>
  </si>
  <si>
    <t>556621345619</t>
  </si>
  <si>
    <t>06:31 pm</t>
  </si>
  <si>
    <t>T2605301831280303640012</t>
  </si>
  <si>
    <t>874613719892</t>
  </si>
  <si>
    <t>05:00 pm</t>
  </si>
  <si>
    <t>T2605301700327009025965</t>
  </si>
  <si>
    <t>019364966381</t>
  </si>
  <si>
    <t>T2605301621557455118357</t>
  </si>
  <si>
    <t>198227675568</t>
  </si>
  <si>
    <t>03:53 pm</t>
  </si>
  <si>
    <t>T2605301553043838197914</t>
  </si>
  <si>
    <t>945422796538</t>
  </si>
  <si>
    <t>03:45 pm</t>
  </si>
  <si>
    <t>NX26053015455458143363201</t>
  </si>
  <si>
    <t>569251893742</t>
  </si>
  <si>
    <t>T2605301233338160060878</t>
  </si>
  <si>
    <t>490478791105</t>
  </si>
  <si>
    <t>NX26053012303882496500191</t>
  </si>
  <si>
    <t>131403316780</t>
  </si>
  <si>
    <t>06:52 pm</t>
  </si>
  <si>
    <t>T2605291852298583946219</t>
  </si>
  <si>
    <t>600813372074</t>
  </si>
  <si>
    <t>06:50 pm</t>
  </si>
  <si>
    <t>T2605291850516182680749</t>
  </si>
  <si>
    <t>870199510226</t>
  </si>
  <si>
    <t>06:43 pm</t>
  </si>
  <si>
    <t>NX26052918430332214741091</t>
  </si>
  <si>
    <t>360944119999</t>
  </si>
  <si>
    <t>T2605291836298540060346</t>
  </si>
  <si>
    <t>254032525752</t>
  </si>
  <si>
    <t>06:13 pm</t>
  </si>
  <si>
    <t>T2605291813368086563208</t>
  </si>
  <si>
    <t>377345056485</t>
  </si>
  <si>
    <t>T2605291802439165853279</t>
  </si>
  <si>
    <t>668015409604</t>
  </si>
  <si>
    <t>05:56 pm</t>
  </si>
  <si>
    <t>T2605291756284078178429</t>
  </si>
  <si>
    <t>002533797547</t>
  </si>
  <si>
    <t>05:30 pm</t>
  </si>
  <si>
    <t>T2605291730002157585720</t>
  </si>
  <si>
    <t>614967998105</t>
  </si>
  <si>
    <t>05:17 pm</t>
  </si>
  <si>
    <t>T2605291717038772795583</t>
  </si>
  <si>
    <t>338852570448</t>
  </si>
  <si>
    <t>04:58 pm</t>
  </si>
  <si>
    <t>T2605291657573282795206</t>
  </si>
  <si>
    <t>812776093895</t>
  </si>
  <si>
    <t>10:34 am</t>
  </si>
  <si>
    <t>T2605291034091050343641</t>
  </si>
  <si>
    <t>674433746353</t>
  </si>
  <si>
    <t>07:56 pm</t>
  </si>
  <si>
    <t>T2605281956291872396681</t>
  </si>
  <si>
    <t>752627694716</t>
  </si>
  <si>
    <t>T2605281956313954018590</t>
  </si>
  <si>
    <t>170822480697</t>
  </si>
  <si>
    <t>05:33 pm</t>
  </si>
  <si>
    <t>T2605271733481169968922</t>
  </si>
  <si>
    <t>372538818442</t>
  </si>
  <si>
    <t>08:45 pm</t>
  </si>
  <si>
    <t>T2605262045332774676832</t>
  </si>
  <si>
    <t>295655985888</t>
  </si>
  <si>
    <t>07:54 pm</t>
  </si>
  <si>
    <t>T2605261954075825108302</t>
  </si>
  <si>
    <t>651201561819</t>
  </si>
  <si>
    <t>07:49 pm</t>
  </si>
  <si>
    <t>T2605261949124380285223</t>
  </si>
  <si>
    <t>038504447873</t>
  </si>
  <si>
    <t>07:12 pm</t>
  </si>
  <si>
    <t>T2605261912276616558824</t>
  </si>
  <si>
    <t>832254015456</t>
  </si>
  <si>
    <t>06:25 pm</t>
  </si>
  <si>
    <t>T2605261825173529890828</t>
  </si>
  <si>
    <t>611068545247</t>
  </si>
  <si>
    <t>06:24 pm</t>
  </si>
  <si>
    <t>T2605261824553818785797</t>
  </si>
  <si>
    <t>250570929536</t>
  </si>
  <si>
    <t>06:10 pm</t>
  </si>
  <si>
    <t>T2605261810217374125117</t>
  </si>
  <si>
    <t>960957050498</t>
  </si>
  <si>
    <t>T2605261801580650977928</t>
  </si>
  <si>
    <t>951053441941</t>
  </si>
  <si>
    <t>05:42 pm</t>
  </si>
  <si>
    <t>T2605261742150306521579</t>
  </si>
  <si>
    <t>643793579898</t>
  </si>
  <si>
    <t>T2605261730217324208065</t>
  </si>
  <si>
    <t>614613935689</t>
  </si>
  <si>
    <t>05:25 pm</t>
  </si>
  <si>
    <t>T2605261725311013539931</t>
  </si>
  <si>
    <t>543855867577</t>
  </si>
  <si>
    <t>05:22 pm</t>
  </si>
  <si>
    <t>T2605261722535130494224</t>
  </si>
  <si>
    <t>089466892125</t>
  </si>
  <si>
    <t>05:08 pm</t>
  </si>
  <si>
    <t>T2605261708485201243011</t>
  </si>
  <si>
    <t>013600375852</t>
  </si>
  <si>
    <t>04:49 pm</t>
  </si>
  <si>
    <t>T2605261649092668610665</t>
  </si>
  <si>
    <t>721593476107</t>
  </si>
  <si>
    <t>04:39 pm</t>
  </si>
  <si>
    <t>T2605261639506069778334</t>
  </si>
  <si>
    <t>865924164522</t>
  </si>
  <si>
    <t>04:29 pm</t>
  </si>
  <si>
    <t>T2605261629258913603161</t>
  </si>
  <si>
    <t>785015333480</t>
  </si>
  <si>
    <t>T2605261629142066565946</t>
  </si>
  <si>
    <t>193442649713</t>
  </si>
  <si>
    <t>04:28 pm</t>
  </si>
  <si>
    <t>T2605261628549281517243</t>
  </si>
  <si>
    <t>454658801954</t>
  </si>
  <si>
    <t>03:50 pm</t>
  </si>
  <si>
    <t>T2605261550407744991730</t>
  </si>
  <si>
    <t>479120629271</t>
  </si>
  <si>
    <t>T2605261535419861325974</t>
  </si>
  <si>
    <t>614660804080</t>
  </si>
  <si>
    <t>02:55 pm</t>
  </si>
  <si>
    <t>T2605261455172579863653</t>
  </si>
  <si>
    <t>203519189541</t>
  </si>
  <si>
    <t>02:44 pm</t>
  </si>
  <si>
    <t>T2605261444195263372076</t>
  </si>
  <si>
    <t>873346353683</t>
  </si>
  <si>
    <t>T2605261422522367098184</t>
  </si>
  <si>
    <t>614600031749</t>
  </si>
  <si>
    <t>02:04 pm</t>
  </si>
  <si>
    <t>T2605261404080729149867</t>
  </si>
  <si>
    <t>243449532234</t>
  </si>
  <si>
    <t>01:58 pm</t>
  </si>
  <si>
    <t>T2605261358067067098566</t>
  </si>
  <si>
    <t>235367853412</t>
  </si>
  <si>
    <t>01:57 pm</t>
  </si>
  <si>
    <t>T2605261357102653734981</t>
  </si>
  <si>
    <t>010885919125</t>
  </si>
  <si>
    <t>08:19 pm</t>
  </si>
  <si>
    <t>T2605252018541069051699</t>
  </si>
  <si>
    <t>606277007828</t>
  </si>
  <si>
    <t>08:18 pm</t>
  </si>
  <si>
    <t>T2605252017584422486403</t>
  </si>
  <si>
    <t>984947333180</t>
  </si>
  <si>
    <t>07:35 pm</t>
  </si>
  <si>
    <t>T2605251935084540060335</t>
  </si>
  <si>
    <t>052986231977</t>
  </si>
  <si>
    <t>T2605251929452859528996</t>
  </si>
  <si>
    <t>940806144965</t>
  </si>
  <si>
    <t>07:23 pm</t>
  </si>
  <si>
    <t>T2605251923492345251318</t>
  </si>
  <si>
    <t>608749260355</t>
  </si>
  <si>
    <t>07:08 pm</t>
  </si>
  <si>
    <t>T2605251908078245216948</t>
  </si>
  <si>
    <t>836958992251</t>
  </si>
  <si>
    <t>06:54 pm</t>
  </si>
  <si>
    <t>T2605251854437120104087</t>
  </si>
  <si>
    <t>614550692171</t>
  </si>
  <si>
    <t>06:45 pm</t>
  </si>
  <si>
    <t>T2605251845171164198561</t>
  </si>
  <si>
    <t>491844849206</t>
  </si>
  <si>
    <t>06:37 pm</t>
  </si>
  <si>
    <t>T2605251837067272301252</t>
  </si>
  <si>
    <t>606795760543</t>
  </si>
  <si>
    <t>T2605251825060496801936</t>
  </si>
  <si>
    <t>123647908266</t>
  </si>
  <si>
    <t>06:19 pm</t>
  </si>
  <si>
    <t>T2605251819365247220358</t>
  </si>
  <si>
    <t>902171258821</t>
  </si>
  <si>
    <t>06:08 pm</t>
  </si>
  <si>
    <t>T2605251808234034356340</t>
  </si>
  <si>
    <t>614578333314</t>
  </si>
  <si>
    <t>05:59 pm</t>
  </si>
  <si>
    <t>T2605251759108842720691</t>
  </si>
  <si>
    <t>216919254557</t>
  </si>
  <si>
    <t>T2605251733335547668172</t>
  </si>
  <si>
    <t>224275645436</t>
  </si>
  <si>
    <t>05:13 pm</t>
  </si>
  <si>
    <t>T2605251713334750359984</t>
  </si>
  <si>
    <t>223222384877</t>
  </si>
  <si>
    <t>04:47 pm</t>
  </si>
  <si>
    <t>T2605251647010481293986</t>
  </si>
  <si>
    <t>698560732143</t>
  </si>
  <si>
    <t>03:43 pm</t>
  </si>
  <si>
    <t>T2605251543218124795426</t>
  </si>
  <si>
    <t>614535849592</t>
  </si>
  <si>
    <t>01:30 pm</t>
  </si>
  <si>
    <t>T2605251330266322778895</t>
  </si>
  <si>
    <t>112910677676</t>
  </si>
  <si>
    <t>01:20 pm</t>
  </si>
  <si>
    <t>T2605251319595777672610</t>
  </si>
  <si>
    <t>084314298464</t>
  </si>
  <si>
    <t>12:18 pm</t>
  </si>
  <si>
    <t>T2605251218565670697830</t>
  </si>
  <si>
    <t>165248763534</t>
  </si>
  <si>
    <t>09:31 pm</t>
  </si>
  <si>
    <t>T2605242131451567394354</t>
  </si>
  <si>
    <t>799513112120</t>
  </si>
  <si>
    <t>T2605241813173059615508</t>
  </si>
  <si>
    <t>279847132403</t>
  </si>
  <si>
    <t>02:17 pm</t>
  </si>
  <si>
    <t>T2605241417463578387935</t>
  </si>
  <si>
    <t>889469035809</t>
  </si>
  <si>
    <t>08:51 pm</t>
  </si>
  <si>
    <t>T2605232051280224356204</t>
  </si>
  <si>
    <t>055812759242</t>
  </si>
  <si>
    <t>08:04 pm</t>
  </si>
  <si>
    <t>T2605232004310177695694</t>
  </si>
  <si>
    <t>206318687277</t>
  </si>
  <si>
    <t>08:03 pm</t>
  </si>
  <si>
    <t>T2605232002561929514245</t>
  </si>
  <si>
    <t>333314777776</t>
  </si>
  <si>
    <t>07:13 pm</t>
  </si>
  <si>
    <t>T2605231913500336683824</t>
  </si>
  <si>
    <t>699805970150</t>
  </si>
  <si>
    <t>06:28 pm</t>
  </si>
  <si>
    <t>T2605231828235929767374</t>
  </si>
  <si>
    <t>126057608352</t>
  </si>
  <si>
    <t>T2605231819282004897355</t>
  </si>
  <si>
    <t>714269484471</t>
  </si>
  <si>
    <t>05:44 pm</t>
  </si>
  <si>
    <t>T2605231744467702740810</t>
  </si>
  <si>
    <t>240782812829</t>
  </si>
  <si>
    <t>05:35 pm</t>
  </si>
  <si>
    <t>T2605231735531044419483</t>
  </si>
  <si>
    <t>193799080883</t>
  </si>
  <si>
    <t>T2605231713291318840238</t>
  </si>
  <si>
    <t>238505998744</t>
  </si>
  <si>
    <t>05:09 pm</t>
  </si>
  <si>
    <t>T2605231709475881574948</t>
  </si>
  <si>
    <t>638592721614</t>
  </si>
  <si>
    <t>05:06 pm</t>
  </si>
  <si>
    <t>T2605231706381386980170</t>
  </si>
  <si>
    <t>584570737882</t>
  </si>
  <si>
    <t>05:04 pm</t>
  </si>
  <si>
    <t>T2605231704535640027877</t>
  </si>
  <si>
    <t>123580987888</t>
  </si>
  <si>
    <t>T2605231647075825941492</t>
  </si>
  <si>
    <t>070622078309</t>
  </si>
  <si>
    <t>04:20 pm</t>
  </si>
  <si>
    <t>T2605231620166931650642</t>
  </si>
  <si>
    <t>667317086318</t>
  </si>
  <si>
    <t>04:19 pm</t>
  </si>
  <si>
    <t>T2605231619087584299072</t>
  </si>
  <si>
    <t>213165225687</t>
  </si>
  <si>
    <t>04:09 pm</t>
  </si>
  <si>
    <t>T2605231609092401583879</t>
  </si>
  <si>
    <t>215275602777</t>
  </si>
  <si>
    <t>04:07 pm</t>
  </si>
  <si>
    <t>T2605231607107885434870</t>
  </si>
  <si>
    <t>333521339256</t>
  </si>
  <si>
    <t>T2605231607096328387798</t>
  </si>
  <si>
    <t>650924428537</t>
  </si>
  <si>
    <t>04:06 pm</t>
  </si>
  <si>
    <t>T2605231605555542720331</t>
  </si>
  <si>
    <t>927481380489</t>
  </si>
  <si>
    <t>04:00 pm</t>
  </si>
  <si>
    <t>NX26052315595982339503271</t>
  </si>
  <si>
    <t>593900458001</t>
  </si>
  <si>
    <t>T2605231545510384795027</t>
  </si>
  <si>
    <t>248093664279</t>
  </si>
  <si>
    <t>03:33 pm</t>
  </si>
  <si>
    <t>T2605231533411822720710</t>
  </si>
  <si>
    <t>149128910468</t>
  </si>
  <si>
    <t>03:28 pm</t>
  </si>
  <si>
    <t>T2605231528184678840628</t>
  </si>
  <si>
    <t>336299760196</t>
  </si>
  <si>
    <t>T2605231452308136317744</t>
  </si>
  <si>
    <t>094829098191</t>
  </si>
  <si>
    <t>02:18 pm</t>
  </si>
  <si>
    <t>T2605231418354678698778</t>
  </si>
  <si>
    <t>202673849402</t>
  </si>
  <si>
    <t>01:25 pm</t>
  </si>
  <si>
    <t>T2605231325534490289059</t>
  </si>
  <si>
    <t>123571161359</t>
  </si>
  <si>
    <t>01:14 pm</t>
  </si>
  <si>
    <t>T2605231314081289821722</t>
  </si>
  <si>
    <t>403680235179</t>
  </si>
  <si>
    <t>10:42 am</t>
  </si>
  <si>
    <t>T2605231042303239310929</t>
  </si>
  <si>
    <t>111666029758</t>
  </si>
  <si>
    <t>T2605221928539511583536</t>
  </si>
  <si>
    <t>985712407902</t>
  </si>
  <si>
    <t>T2605221927577556179320</t>
  </si>
  <si>
    <t>198163062585</t>
  </si>
  <si>
    <t>T2605221824482216179640</t>
  </si>
  <si>
    <t>953238627790</t>
  </si>
  <si>
    <t>06:11 pm</t>
  </si>
  <si>
    <t>T2605221811444105147107</t>
  </si>
  <si>
    <t>835678461613</t>
  </si>
  <si>
    <t>T2605221808117283027366</t>
  </si>
  <si>
    <t>132274863654</t>
  </si>
  <si>
    <t>05:12 pm</t>
  </si>
  <si>
    <t>T2605221712356592744976</t>
  </si>
  <si>
    <t>959889770764</t>
  </si>
  <si>
    <t>03:58 pm</t>
  </si>
  <si>
    <t>T2605221558278020765955</t>
  </si>
  <si>
    <t>210460490531</t>
  </si>
  <si>
    <t>03:37 pm</t>
  </si>
  <si>
    <t>T2605221537542097465448</t>
  </si>
  <si>
    <t>351073038684</t>
  </si>
  <si>
    <t>03:27 pm</t>
  </si>
  <si>
    <t>T2605221527299646723546</t>
  </si>
  <si>
    <t>614232242237</t>
  </si>
  <si>
    <t>T2605221527060073681577</t>
  </si>
  <si>
    <t>010563145842</t>
  </si>
  <si>
    <t>T2605221502242291406043</t>
  </si>
  <si>
    <t>614211829912</t>
  </si>
  <si>
    <t>T2605221440367525693328</t>
  </si>
  <si>
    <t>945179406818</t>
  </si>
  <si>
    <t>02:27 pm</t>
  </si>
  <si>
    <t>T2605221427161392301537</t>
  </si>
  <si>
    <t>994233113824</t>
  </si>
  <si>
    <t>T2605221417162700556893</t>
  </si>
  <si>
    <t>056030482276</t>
  </si>
  <si>
    <t>02:09 pm</t>
  </si>
  <si>
    <t>T2605221409318348359244</t>
  </si>
  <si>
    <t>143657711426</t>
  </si>
  <si>
    <t>01:52 pm</t>
  </si>
  <si>
    <t>T2605221352115784978159</t>
  </si>
  <si>
    <t>089601380436</t>
  </si>
  <si>
    <t>T2605201923241756850446</t>
  </si>
  <si>
    <t>874225531133</t>
  </si>
  <si>
    <t>07:22 pm</t>
  </si>
  <si>
    <t>T2605201922437905114809</t>
  </si>
  <si>
    <t>985066785032</t>
  </si>
  <si>
    <t>07:21 pm</t>
  </si>
  <si>
    <t>T2605201921349918473813</t>
  </si>
  <si>
    <t>543040608796</t>
  </si>
  <si>
    <t>06:39 pm</t>
  </si>
  <si>
    <t>T2605201839384992178386</t>
  </si>
  <si>
    <t>082494188307</t>
  </si>
  <si>
    <t>05:39 pm</t>
  </si>
  <si>
    <t>T2605201739152556035126</t>
  </si>
  <si>
    <t>140427237636</t>
  </si>
  <si>
    <t>05:29 pm</t>
  </si>
  <si>
    <t>T2605201729260465633048</t>
  </si>
  <si>
    <t>650605503395</t>
  </si>
  <si>
    <t>05:28 pm</t>
  </si>
  <si>
    <t>T2605201728457632913035</t>
  </si>
  <si>
    <t>548561904568</t>
  </si>
  <si>
    <t>T2605201717305262063066</t>
  </si>
  <si>
    <t>060043323979</t>
  </si>
  <si>
    <t>05:07 pm</t>
  </si>
  <si>
    <t>T2605201707159910916704</t>
  </si>
  <si>
    <t>888377152993</t>
  </si>
  <si>
    <t>04:52 pm</t>
  </si>
  <si>
    <t>T2605201652563571576656</t>
  </si>
  <si>
    <t>614060798975</t>
  </si>
  <si>
    <t>04:11 pm</t>
  </si>
  <si>
    <t>T2605201611439598692312</t>
  </si>
  <si>
    <t>614032935320</t>
  </si>
  <si>
    <t>T2605201554055982553767</t>
  </si>
  <si>
    <t>600588435865</t>
  </si>
  <si>
    <t>T2605201554044242178476</t>
  </si>
  <si>
    <t>837117755371</t>
  </si>
  <si>
    <t>T2605201545375661699838</t>
  </si>
  <si>
    <t>650642870125</t>
  </si>
  <si>
    <t>03:29 pm</t>
  </si>
  <si>
    <t>T2605201529464406962949</t>
  </si>
  <si>
    <t>826189851932</t>
  </si>
  <si>
    <t>03:01 pm</t>
  </si>
  <si>
    <t>T2605201501180667375094</t>
  </si>
  <si>
    <t>614073790102</t>
  </si>
  <si>
    <t>T2605201455197083634575</t>
  </si>
  <si>
    <t>900877744625</t>
  </si>
  <si>
    <t>02:33 pm</t>
  </si>
  <si>
    <t>T2605201433126765739177</t>
  </si>
  <si>
    <t>066323703534</t>
  </si>
  <si>
    <t>02:32 pm</t>
  </si>
  <si>
    <t>T2605201432271679948015</t>
  </si>
  <si>
    <t>462433787448</t>
  </si>
  <si>
    <t>T2605201409360489720270</t>
  </si>
  <si>
    <t>614025435099</t>
  </si>
  <si>
    <t>10:49 am</t>
  </si>
  <si>
    <t>T2605201049114774493765</t>
  </si>
  <si>
    <t>006137593840</t>
  </si>
  <si>
    <t>07:42 am</t>
  </si>
  <si>
    <t>T2605200742207080453290</t>
  </si>
  <si>
    <t>162109222254</t>
  </si>
  <si>
    <t>07:35 am</t>
  </si>
  <si>
    <t>T2605200735089047708640</t>
  </si>
  <si>
    <t>055832260286</t>
  </si>
  <si>
    <t>09:14 pm</t>
  </si>
  <si>
    <t>NX26051921144452231273551</t>
  </si>
  <si>
    <t>084788390955</t>
  </si>
  <si>
    <t>07:43 pm</t>
  </si>
  <si>
    <t>T2605191943058968259349</t>
  </si>
  <si>
    <t>133355081270</t>
  </si>
  <si>
    <t>07:41 pm</t>
  </si>
  <si>
    <t>T2605191941112235577348</t>
  </si>
  <si>
    <t>258847552383</t>
  </si>
  <si>
    <t>T2605191850311785019946</t>
  </si>
  <si>
    <t>681476341015</t>
  </si>
  <si>
    <t>06:48 pm</t>
  </si>
  <si>
    <t>T2605191848468908473347</t>
  </si>
  <si>
    <t>613904390795</t>
  </si>
  <si>
    <t>06:33 pm</t>
  </si>
  <si>
    <t>T2605191832589686852241</t>
  </si>
  <si>
    <t>486592333978</t>
  </si>
  <si>
    <t>T2605191828218415276168</t>
  </si>
  <si>
    <t>159211003505</t>
  </si>
  <si>
    <t>06:07 pm</t>
  </si>
  <si>
    <t>T2605191807102566336539</t>
  </si>
  <si>
    <t>321280167719</t>
  </si>
  <si>
    <t>05:57 pm</t>
  </si>
  <si>
    <t>T2605191757367022128428</t>
  </si>
  <si>
    <t>857592983283</t>
  </si>
  <si>
    <t>05:48 pm</t>
  </si>
  <si>
    <t>T2605191748069755539534</t>
  </si>
  <si>
    <t>645244784070</t>
  </si>
  <si>
    <t>05:37 pm</t>
  </si>
  <si>
    <t>T2605191737508551700372</t>
  </si>
  <si>
    <t>720495359479</t>
  </si>
  <si>
    <t>T2605191737335098565411</t>
  </si>
  <si>
    <t>734970212324</t>
  </si>
  <si>
    <t>T2605191725398862128983</t>
  </si>
  <si>
    <t>000945815787</t>
  </si>
  <si>
    <t>05:01 pm</t>
  </si>
  <si>
    <t>T2605191700545262925933</t>
  </si>
  <si>
    <t>208311381845</t>
  </si>
  <si>
    <t>T2605161938369574952956</t>
  </si>
  <si>
    <t>689878632660</t>
  </si>
  <si>
    <t>07:37 pm</t>
  </si>
  <si>
    <t>T2605161937499266748240</t>
  </si>
  <si>
    <t>054583310258</t>
  </si>
  <si>
    <t>06:49 pm</t>
  </si>
  <si>
    <t>T2605161849201929680836</t>
  </si>
  <si>
    <t>760331758420</t>
  </si>
  <si>
    <t>T2605161824450723881699</t>
  </si>
  <si>
    <t>650268184679</t>
  </si>
  <si>
    <t>06:04 pm</t>
  </si>
  <si>
    <t>T2605161804347223353929</t>
  </si>
  <si>
    <t>613670028189</t>
  </si>
  <si>
    <t>T2605161748295386112718</t>
  </si>
  <si>
    <t>170404803804</t>
  </si>
  <si>
    <t>05:47 pm</t>
  </si>
  <si>
    <t>T2605161747518388077461</t>
  </si>
  <si>
    <t>882139135061</t>
  </si>
  <si>
    <t>T2605161742216544549621</t>
  </si>
  <si>
    <t>890209151372</t>
  </si>
  <si>
    <t>05:41 pm</t>
  </si>
  <si>
    <t>T2605161741407426770063</t>
  </si>
  <si>
    <t>801626280672</t>
  </si>
  <si>
    <t>05:36 pm</t>
  </si>
  <si>
    <t>T2605161736087012357464</t>
  </si>
  <si>
    <t>479633809625</t>
  </si>
  <si>
    <t>05:27 pm</t>
  </si>
  <si>
    <t>T2605161727274771974071</t>
  </si>
  <si>
    <t>613679612921</t>
  </si>
  <si>
    <t>05:23 pm</t>
  </si>
  <si>
    <t>T2605161723384135649900</t>
  </si>
  <si>
    <t>149656260459</t>
  </si>
  <si>
    <t>T2605161716576917539533</t>
  </si>
  <si>
    <t>693686485029</t>
  </si>
  <si>
    <t>T2605161706295836410512</t>
  </si>
  <si>
    <t>123225578002</t>
  </si>
  <si>
    <t>04:56 pm</t>
  </si>
  <si>
    <t>T2605161656009715757777</t>
  </si>
  <si>
    <t>862301535920</t>
  </si>
  <si>
    <t>04:40 pm</t>
  </si>
  <si>
    <t>T2605161640091132660597</t>
  </si>
  <si>
    <t>779766025599</t>
  </si>
  <si>
    <t>T2605161634090023331017</t>
  </si>
  <si>
    <t>613673017521</t>
  </si>
  <si>
    <t>04:04 pm</t>
  </si>
  <si>
    <t>T2605161604394560765911</t>
  </si>
  <si>
    <t>817249232207</t>
  </si>
  <si>
    <t>03:57 pm</t>
  </si>
  <si>
    <t>T2605161557472197063562</t>
  </si>
  <si>
    <t>650245249505</t>
  </si>
  <si>
    <t>03:49 pm</t>
  </si>
  <si>
    <t>T2605161549280010857320</t>
  </si>
  <si>
    <t>231949049850</t>
  </si>
  <si>
    <t>03:19 pm</t>
  </si>
  <si>
    <t>T2605161519200676416607</t>
  </si>
  <si>
    <t>794079927825</t>
  </si>
  <si>
    <t>09:33 pm</t>
  </si>
  <si>
    <t>T2605152133416474673173</t>
  </si>
  <si>
    <t>638937505946</t>
  </si>
  <si>
    <t>07:50 pm</t>
  </si>
  <si>
    <t>T2605151950277446930381</t>
  </si>
  <si>
    <t>487510704130</t>
  </si>
  <si>
    <t>T2605151948472123414134</t>
  </si>
  <si>
    <t>062054403016</t>
  </si>
  <si>
    <t>T2605151852439276927873</t>
  </si>
  <si>
    <t>548375225692</t>
  </si>
  <si>
    <t>T2605151849015093353854</t>
  </si>
  <si>
    <t>175887439991</t>
  </si>
  <si>
    <t>T2605151833403864632271</t>
  </si>
  <si>
    <t>199748097123</t>
  </si>
  <si>
    <t>T2605151832596083269566</t>
  </si>
  <si>
    <t>204174406267</t>
  </si>
  <si>
    <t>06:09 pm</t>
  </si>
  <si>
    <t>T2605151809574896434863</t>
  </si>
  <si>
    <t>989046822632</t>
  </si>
  <si>
    <t>06:01 pm</t>
  </si>
  <si>
    <t>T2605151801362203595750</t>
  </si>
  <si>
    <t>701522361777</t>
  </si>
  <si>
    <t>05:54 pm</t>
  </si>
  <si>
    <t>T2605151754353419232472</t>
  </si>
  <si>
    <t>372950731994</t>
  </si>
  <si>
    <t>T2605151737212402769367</t>
  </si>
  <si>
    <t>911119577606</t>
  </si>
  <si>
    <t>T2605151730523643907440</t>
  </si>
  <si>
    <t>650130024723</t>
  </si>
  <si>
    <t>T2605151729184176235190</t>
  </si>
  <si>
    <t>650195943034</t>
  </si>
  <si>
    <t>T2605151721084203132734</t>
  </si>
  <si>
    <t>187116490697</t>
  </si>
  <si>
    <t>04:55 pm</t>
  </si>
  <si>
    <t>T2605151655117947382112</t>
  </si>
  <si>
    <t>995986287816</t>
  </si>
  <si>
    <t>T2605151649201709680564</t>
  </si>
  <si>
    <t>444977633753</t>
  </si>
  <si>
    <t>04:48 pm</t>
  </si>
  <si>
    <t>T2605151648342013414190</t>
  </si>
  <si>
    <t>650167613008</t>
  </si>
  <si>
    <t>04:37 pm</t>
  </si>
  <si>
    <t>T2605151637275516471432</t>
  </si>
  <si>
    <t>650195504069</t>
  </si>
  <si>
    <t>04:30 pm</t>
  </si>
  <si>
    <t>T2605151630307484322648</t>
  </si>
  <si>
    <t>559644454715</t>
  </si>
  <si>
    <t>03:42 pm</t>
  </si>
  <si>
    <t>T2605151542349393615560</t>
  </si>
  <si>
    <t>843469063577</t>
  </si>
  <si>
    <t>03:13 pm</t>
  </si>
  <si>
    <t>T2605151513406500159552</t>
  </si>
  <si>
    <t>480663140170</t>
  </si>
  <si>
    <t>02:57 pm</t>
  </si>
  <si>
    <t>T2605151457067388980410</t>
  </si>
  <si>
    <t>402174723105</t>
  </si>
  <si>
    <t>02:48 pm</t>
  </si>
  <si>
    <t>T2605151448181029186393</t>
  </si>
  <si>
    <t>780293613297</t>
  </si>
  <si>
    <t>02:43 pm</t>
  </si>
  <si>
    <t>T2605151443301674952046</t>
  </si>
  <si>
    <t>730137865072</t>
  </si>
  <si>
    <t>02:21 pm</t>
  </si>
  <si>
    <t>T2605151421210196712475</t>
  </si>
  <si>
    <t>911620128606</t>
  </si>
  <si>
    <t>02:16 pm</t>
  </si>
  <si>
    <t>T2605151416517923353601</t>
  </si>
  <si>
    <t>220571433671</t>
  </si>
  <si>
    <t>T2605151416407556079626</t>
  </si>
  <si>
    <t>195855791739</t>
  </si>
  <si>
    <t>T2605151409118765472732</t>
  </si>
  <si>
    <t>116114152891</t>
  </si>
  <si>
    <t>07:55 pm</t>
  </si>
  <si>
    <t>T2605141955176442773245</t>
  </si>
  <si>
    <t>929391041565</t>
  </si>
  <si>
    <t>T2605141948130197330097</t>
  </si>
  <si>
    <t>189058724139</t>
  </si>
  <si>
    <t>T2605141920571931239487</t>
  </si>
  <si>
    <t>510788223301</t>
  </si>
  <si>
    <t>T2605141851549497820091</t>
  </si>
  <si>
    <t>760138950357</t>
  </si>
  <si>
    <t>06:15 pm</t>
  </si>
  <si>
    <t>T2605141815351562232837</t>
  </si>
  <si>
    <t>613477810849</t>
  </si>
  <si>
    <t>T2605141813490739147978</t>
  </si>
  <si>
    <t>100121421024</t>
  </si>
  <si>
    <t>T2605141808129099306938</t>
  </si>
  <si>
    <t>590985590297</t>
  </si>
  <si>
    <t>T2605141802537530889573</t>
  </si>
  <si>
    <t>147929012820</t>
  </si>
  <si>
    <t>T2605141648144921098402</t>
  </si>
  <si>
    <t>354509778987</t>
  </si>
  <si>
    <t>T2605141620060575607366</t>
  </si>
  <si>
    <t>283389930123</t>
  </si>
  <si>
    <t>04:01 pm</t>
  </si>
  <si>
    <t>T2605141601362761912004</t>
  </si>
  <si>
    <t>545014799854</t>
  </si>
  <si>
    <t>T2605141554338923367420</t>
  </si>
  <si>
    <t>957071502211</t>
  </si>
  <si>
    <t>02:30 pm</t>
  </si>
  <si>
    <t>T2605141430092694830636</t>
  </si>
  <si>
    <t>559888389525</t>
  </si>
  <si>
    <t>08:20 pm</t>
  </si>
  <si>
    <t>T2605132019568405317835</t>
  </si>
  <si>
    <t>580554528895</t>
  </si>
  <si>
    <t>T2605131727356914401054</t>
  </si>
  <si>
    <t>002246156016</t>
  </si>
  <si>
    <t>T2605131708237137835990</t>
  </si>
  <si>
    <t>709974902056</t>
  </si>
  <si>
    <t>T2605131701045810101064</t>
  </si>
  <si>
    <t>726076261224</t>
  </si>
  <si>
    <t>T2605131639044033114281</t>
  </si>
  <si>
    <t>346415486818</t>
  </si>
  <si>
    <t>04:33 pm</t>
  </si>
  <si>
    <t>T2605131633269808153703</t>
  </si>
  <si>
    <t>649911030888</t>
  </si>
  <si>
    <t>T2605131628012212067722</t>
  </si>
  <si>
    <t>627923511297</t>
  </si>
  <si>
    <t>T2605131543501428749683</t>
  </si>
  <si>
    <t>109431060999</t>
  </si>
  <si>
    <t>T2605131537542258604130</t>
  </si>
  <si>
    <t>649982610001</t>
  </si>
  <si>
    <t>03:30 pm</t>
  </si>
  <si>
    <t>T2605131530182477858420</t>
  </si>
  <si>
    <t>613392677949</t>
  </si>
  <si>
    <t>03:17 pm</t>
  </si>
  <si>
    <t>T2605131517451821063669</t>
  </si>
  <si>
    <t>307207533670</t>
  </si>
  <si>
    <t>03:09 pm</t>
  </si>
  <si>
    <t>T2605131509078085759896</t>
  </si>
  <si>
    <t>155560594074</t>
  </si>
  <si>
    <t>01:44 pm</t>
  </si>
  <si>
    <t>T2605131344469257511194</t>
  </si>
  <si>
    <t>079308880515</t>
  </si>
  <si>
    <t>01:36 pm</t>
  </si>
  <si>
    <t>T2605131336237340239906</t>
  </si>
  <si>
    <t>649933562811</t>
  </si>
  <si>
    <t>01:28 pm</t>
  </si>
  <si>
    <t>T2605131328512603613130</t>
  </si>
  <si>
    <t>256618106448</t>
  </si>
  <si>
    <t>01:09 pm</t>
  </si>
  <si>
    <t>T2605131308585627087360</t>
  </si>
  <si>
    <t>248232086419</t>
  </si>
  <si>
    <t>12:57 pm</t>
  </si>
  <si>
    <t>T2605131257342209190396</t>
  </si>
  <si>
    <t>541414332537</t>
  </si>
  <si>
    <t>12:56 pm</t>
  </si>
  <si>
    <t>T2605131256415346155640</t>
  </si>
  <si>
    <t>812373083060</t>
  </si>
  <si>
    <t>12:38 pm</t>
  </si>
  <si>
    <t>T2605131238318410869267</t>
  </si>
  <si>
    <t>302475656941</t>
  </si>
  <si>
    <t>12:34 pm</t>
  </si>
  <si>
    <t>T2605131234500817577655</t>
  </si>
  <si>
    <t>568331161415</t>
  </si>
  <si>
    <t>T2605131233273111527610</t>
  </si>
  <si>
    <t>351488755066</t>
  </si>
  <si>
    <t>T2605131215308247424390</t>
  </si>
  <si>
    <t>448186043130</t>
  </si>
  <si>
    <t>12:10 pm</t>
  </si>
  <si>
    <t>T2605131210027549339032</t>
  </si>
  <si>
    <t>226254805769</t>
  </si>
  <si>
    <t>11:47 am</t>
  </si>
  <si>
    <t>T2605131147434806282969</t>
  </si>
  <si>
    <t>949066706772</t>
  </si>
  <si>
    <t>11:43 am</t>
  </si>
  <si>
    <t>T2605131143404449190297</t>
  </si>
  <si>
    <t>599744095754</t>
  </si>
  <si>
    <t>11:25 am</t>
  </si>
  <si>
    <t>T2605131125458770606765</t>
  </si>
  <si>
    <t>981846811844</t>
  </si>
  <si>
    <t>T2605121941528256137246</t>
  </si>
  <si>
    <t>549478176989</t>
  </si>
  <si>
    <t>T2605121941051416902672</t>
  </si>
  <si>
    <t>388057015771</t>
  </si>
  <si>
    <t>06:55 pm</t>
  </si>
  <si>
    <t>T2605121855260549249961</t>
  </si>
  <si>
    <t>142937049957</t>
  </si>
  <si>
    <t>T2605121845454386785390</t>
  </si>
  <si>
    <t>446864743123</t>
  </si>
  <si>
    <t>T2605121837092818198378</t>
  </si>
  <si>
    <t>613236837793</t>
  </si>
  <si>
    <t>06:35 pm</t>
  </si>
  <si>
    <t>T2605121835019961811877</t>
  </si>
  <si>
    <t>504262445449</t>
  </si>
  <si>
    <t>06:17 pm</t>
  </si>
  <si>
    <t>T2605121817470192827831</t>
  </si>
  <si>
    <t>582554300327</t>
  </si>
  <si>
    <t>05:19 pm</t>
  </si>
  <si>
    <t>T2605121718581717398257</t>
  </si>
  <si>
    <t>201901919789</t>
  </si>
  <si>
    <t>T2605121628406677098594</t>
  </si>
  <si>
    <t>001657483493</t>
  </si>
  <si>
    <t>T2605121628104138706738</t>
  </si>
  <si>
    <t>722138936113</t>
  </si>
  <si>
    <t>T2605121559491909048015</t>
  </si>
  <si>
    <t>407372022609</t>
  </si>
  <si>
    <t>T2605121553090528330418</t>
  </si>
  <si>
    <t>749126211811</t>
  </si>
  <si>
    <t>03:46 pm</t>
  </si>
  <si>
    <t>T2605121546242457514645</t>
  </si>
  <si>
    <t>373603285786</t>
  </si>
  <si>
    <t>03:32 pm</t>
  </si>
  <si>
    <t>T2605121532120193516508</t>
  </si>
  <si>
    <t>613260325780</t>
  </si>
  <si>
    <t>02:19 pm</t>
  </si>
  <si>
    <t>T2605121419182669726904</t>
  </si>
  <si>
    <t>152346188812</t>
  </si>
  <si>
    <t>02:06 pm</t>
  </si>
  <si>
    <t>T2605121406337624219228</t>
  </si>
  <si>
    <t>965729770127</t>
  </si>
  <si>
    <t>01:39 pm</t>
  </si>
  <si>
    <t>T2605121339280583297143</t>
  </si>
  <si>
    <t>303641312959</t>
  </si>
  <si>
    <t>01:35 pm</t>
  </si>
  <si>
    <t>T2605121335019622827956</t>
  </si>
  <si>
    <t>603878915955</t>
  </si>
  <si>
    <t>T2605112018383511149644</t>
  </si>
  <si>
    <t>412254674761</t>
  </si>
  <si>
    <t>08:17 pm</t>
  </si>
  <si>
    <t>T2605112017330081459051</t>
  </si>
  <si>
    <t>507749606113</t>
  </si>
  <si>
    <t>07:46 pm</t>
  </si>
  <si>
    <t>T2605111946399659799444</t>
  </si>
  <si>
    <t>456368417249</t>
  </si>
  <si>
    <t>T2605111913525809969664</t>
  </si>
  <si>
    <t>140045368556</t>
  </si>
  <si>
    <t>06:51 pm</t>
  </si>
  <si>
    <t>T2605111851552003581570</t>
  </si>
  <si>
    <t>613162132456</t>
  </si>
  <si>
    <t>T2605111837576460886282</t>
  </si>
  <si>
    <t>649767554391</t>
  </si>
  <si>
    <t>06:34 pm</t>
  </si>
  <si>
    <t>T2605111834256785238766</t>
  </si>
  <si>
    <t>649733961744</t>
  </si>
  <si>
    <t>T2605111828484566094156</t>
  </si>
  <si>
    <t>649733048262</t>
  </si>
  <si>
    <t>06:18 pm</t>
  </si>
  <si>
    <t>T2605111818045425742157</t>
  </si>
  <si>
    <t>825778326980</t>
  </si>
  <si>
    <t>T2605111807331837514224</t>
  </si>
  <si>
    <t>808412579534</t>
  </si>
  <si>
    <t>T2605111801387055908027</t>
  </si>
  <si>
    <t>998453715515</t>
  </si>
  <si>
    <t>T2605111756482741779704</t>
  </si>
  <si>
    <t>267692670774</t>
  </si>
  <si>
    <t>T2605111742113509034758</t>
  </si>
  <si>
    <t>640052722153</t>
  </si>
  <si>
    <t>T2605101817394782457786</t>
  </si>
  <si>
    <t>437471842744</t>
  </si>
  <si>
    <t>T2605101810479224753895</t>
  </si>
  <si>
    <t>151280317504</t>
  </si>
  <si>
    <t>T2605101501113066012042</t>
  </si>
  <si>
    <t>012070471010</t>
  </si>
  <si>
    <t>02:28 pm</t>
  </si>
  <si>
    <t>T2605101428305213599188</t>
  </si>
  <si>
    <t>105235381410</t>
  </si>
  <si>
    <t>02:24 pm</t>
  </si>
  <si>
    <t>T2605101423583966755008</t>
  </si>
  <si>
    <t>110879534382</t>
  </si>
  <si>
    <t>07:01 pm</t>
  </si>
  <si>
    <t>T2605091901037578565995</t>
  </si>
  <si>
    <t>699303004866</t>
  </si>
  <si>
    <t>T2605091835387489468088</t>
  </si>
  <si>
    <t>922299065082</t>
  </si>
  <si>
    <t>06:29 pm</t>
  </si>
  <si>
    <t>T2605091829147220899526</t>
  </si>
  <si>
    <t>366655681300</t>
  </si>
  <si>
    <t>06:20 pm</t>
  </si>
  <si>
    <t>T2605091820007128187790</t>
  </si>
  <si>
    <t>649564200877</t>
  </si>
  <si>
    <t>T2605091814214013284202</t>
  </si>
  <si>
    <t>181421306953</t>
  </si>
  <si>
    <t>T2605091736079550904728</t>
  </si>
  <si>
    <t>070741360672</t>
  </si>
  <si>
    <t>05:32 pm</t>
  </si>
  <si>
    <t>T2605091732481047714589</t>
  </si>
  <si>
    <t>908716813838</t>
  </si>
  <si>
    <t>T2605091723034942221336</t>
  </si>
  <si>
    <t>324461950048</t>
  </si>
  <si>
    <t>05:18 pm</t>
  </si>
  <si>
    <t>T2605091717556536916172</t>
  </si>
  <si>
    <t>115894334317</t>
  </si>
  <si>
    <t>05:11 pm</t>
  </si>
  <si>
    <t>T2605091711450153123278</t>
  </si>
  <si>
    <t>272677100234</t>
  </si>
  <si>
    <t>05:02 pm</t>
  </si>
  <si>
    <t>T2605091701583786316639</t>
  </si>
  <si>
    <t>597301998508</t>
  </si>
  <si>
    <t>T2605091701422657184391</t>
  </si>
  <si>
    <t>655759683177</t>
  </si>
  <si>
    <t>04:53 pm</t>
  </si>
  <si>
    <t>T2605091653191592558310</t>
  </si>
  <si>
    <t>660655580794</t>
  </si>
  <si>
    <t>T2605091633117496169977</t>
  </si>
  <si>
    <t>519617586767</t>
  </si>
  <si>
    <t>T2605091628094188740855</t>
  </si>
  <si>
    <t>290720369076</t>
  </si>
  <si>
    <t>T2605091552286909830926</t>
  </si>
  <si>
    <t>195314023441</t>
  </si>
  <si>
    <t>03:21 pm</t>
  </si>
  <si>
    <t>T2605091521246688740600</t>
  </si>
  <si>
    <t>612970469422</t>
  </si>
  <si>
    <t>03:15 pm</t>
  </si>
  <si>
    <t>T2605091515256785047931</t>
  </si>
  <si>
    <t>328758922505</t>
  </si>
  <si>
    <t>T2605091452042091006643</t>
  </si>
  <si>
    <t>629083048902</t>
  </si>
  <si>
    <t>02:45 pm</t>
  </si>
  <si>
    <t>T2605091445090805795222</t>
  </si>
  <si>
    <t>612974676554</t>
  </si>
  <si>
    <t>02:29 pm</t>
  </si>
  <si>
    <t>T2605091429221852724175</t>
  </si>
  <si>
    <t>612969061120</t>
  </si>
  <si>
    <t>T2605081314265253113165</t>
  </si>
  <si>
    <t>580006742694</t>
  </si>
  <si>
    <t>01:07 pm</t>
  </si>
  <si>
    <t>T2605081307226933740168</t>
  </si>
  <si>
    <t>181143389977</t>
  </si>
  <si>
    <t>T2605071913361070946935</t>
  </si>
  <si>
    <t>934442220769</t>
  </si>
  <si>
    <t>10:26 am</t>
  </si>
  <si>
    <t>T2605031026430532420604</t>
  </si>
  <si>
    <t>058245585197</t>
  </si>
  <si>
    <t>Apr</t>
  </si>
  <si>
    <t>05:50 am</t>
  </si>
  <si>
    <t>T2604300550325415067717</t>
  </si>
  <si>
    <t>230444730304</t>
  </si>
  <si>
    <t>07:10 pm</t>
  </si>
  <si>
    <t>T2604291910117030701558</t>
  </si>
  <si>
    <t>944221992843</t>
  </si>
  <si>
    <t>09:03 pm</t>
  </si>
  <si>
    <t>T2604282103319941348017</t>
  </si>
  <si>
    <t>517006995733</t>
  </si>
  <si>
    <t>09:02 pm</t>
  </si>
  <si>
    <t>T2604282102194689405285</t>
  </si>
  <si>
    <t>671204527940</t>
  </si>
  <si>
    <t>08:26 pm</t>
  </si>
  <si>
    <t>T2604282026157205819043</t>
  </si>
  <si>
    <t>445946515504</t>
  </si>
  <si>
    <t>T2604281948213943935654</t>
  </si>
  <si>
    <t>358791176420</t>
  </si>
  <si>
    <t>T2604281834576839215918</t>
  </si>
  <si>
    <t>774183519773</t>
  </si>
  <si>
    <t>05:31 pm</t>
  </si>
  <si>
    <t>T2604281731031665849430</t>
  </si>
  <si>
    <t>803037494555</t>
  </si>
  <si>
    <t>04:10 pm</t>
  </si>
  <si>
    <t>T2604271610115825199470</t>
  </si>
  <si>
    <t>023936718591</t>
  </si>
  <si>
    <t>10:31 pm</t>
  </si>
  <si>
    <t>T2604262231498072497289</t>
  </si>
  <si>
    <t>993908846643</t>
  </si>
  <si>
    <t>T2604261742410172158034</t>
  </si>
  <si>
    <t>821104062711</t>
  </si>
  <si>
    <t>NX26042617411507905627251</t>
  </si>
  <si>
    <t>584303552492</t>
  </si>
  <si>
    <t>NX26042617395082703789371</t>
  </si>
  <si>
    <t>672785262428</t>
  </si>
  <si>
    <t>07:40 pm</t>
  </si>
  <si>
    <t>NX26042519401913463599811</t>
  </si>
  <si>
    <t>385660848059</t>
  </si>
  <si>
    <t>04:32 pm</t>
  </si>
  <si>
    <t>T2604251632035054048699</t>
  </si>
  <si>
    <t>649031282947</t>
  </si>
  <si>
    <t>T2604251620449245985763</t>
  </si>
  <si>
    <t>451361151506</t>
  </si>
  <si>
    <t>02:38 pm</t>
  </si>
  <si>
    <t>T2604251438138692693947</t>
  </si>
  <si>
    <t>732616738917</t>
  </si>
  <si>
    <t>02:03 pm</t>
  </si>
  <si>
    <t>T2604251403030543471013</t>
  </si>
  <si>
    <t>748752811799</t>
  </si>
  <si>
    <t>07:43 am</t>
  </si>
  <si>
    <t>S2604250743226266828337D</t>
  </si>
  <si>
    <t>537821921413</t>
  </si>
  <si>
    <t>07:07 am</t>
  </si>
  <si>
    <t>T2604250707016427748167</t>
  </si>
  <si>
    <t>181050055239</t>
  </si>
  <si>
    <t>07:30 pm</t>
  </si>
  <si>
    <t>T2604241930338802918995</t>
  </si>
  <si>
    <t>768275897390</t>
  </si>
  <si>
    <t>04:42 pm</t>
  </si>
  <si>
    <t>S2604241642423656828152D</t>
  </si>
  <si>
    <t>478498606295</t>
  </si>
  <si>
    <t>T2604241519516006621907</t>
  </si>
  <si>
    <t>925590143285</t>
  </si>
  <si>
    <t>07:33 am</t>
  </si>
  <si>
    <t>S2604240733363536828467D</t>
  </si>
  <si>
    <t>702349409335</t>
  </si>
  <si>
    <t>08:00 pm</t>
  </si>
  <si>
    <t>T2604232000343718821982</t>
  </si>
  <si>
    <t>787878717678</t>
  </si>
  <si>
    <t>07:44 pm</t>
  </si>
  <si>
    <t>T2604231944423483267498</t>
  </si>
  <si>
    <t>504944466091</t>
  </si>
  <si>
    <t>02:35 pm</t>
  </si>
  <si>
    <t>T2604231435089505788534</t>
  </si>
  <si>
    <t>778403907031</t>
  </si>
  <si>
    <t>10:23 am</t>
  </si>
  <si>
    <t>S2604231023030930676023D</t>
  </si>
  <si>
    <t>128925064697</t>
  </si>
  <si>
    <t>07:28 am</t>
  </si>
  <si>
    <t>S2604230728543870676845D</t>
  </si>
  <si>
    <t>575654966946</t>
  </si>
  <si>
    <t>09:38 pm</t>
  </si>
  <si>
    <t>T2604222138120758729281</t>
  </si>
  <si>
    <t>035649790582</t>
  </si>
  <si>
    <t>09:34 pm</t>
  </si>
  <si>
    <t>T2604222134061378280896</t>
  </si>
  <si>
    <t>537990972475</t>
  </si>
  <si>
    <t>T2604221854266336028100</t>
  </si>
  <si>
    <t>155072338977</t>
  </si>
  <si>
    <t>T2604221609220044596425</t>
  </si>
  <si>
    <t>245049258984</t>
  </si>
  <si>
    <t>03:16 pm</t>
  </si>
  <si>
    <t>T2604221516443452166531</t>
  </si>
  <si>
    <t>611249862691</t>
  </si>
  <si>
    <t>T2604221427553343516530</t>
  </si>
  <si>
    <t>383017293499</t>
  </si>
  <si>
    <t>01:11 pm</t>
  </si>
  <si>
    <t>T2604211311512299238991</t>
  </si>
  <si>
    <t>937593487692</t>
  </si>
  <si>
    <t>T2604201943513527846135</t>
  </si>
  <si>
    <t>197015014050</t>
  </si>
  <si>
    <t>T2604201941455273030788</t>
  </si>
  <si>
    <t>993683970206</t>
  </si>
  <si>
    <t>07:36 pm</t>
  </si>
  <si>
    <t>T2604201936235524075590</t>
  </si>
  <si>
    <t>248730203794</t>
  </si>
  <si>
    <t>09:07 pm</t>
  </si>
  <si>
    <t>T2604192107243690592866</t>
  </si>
  <si>
    <t>484800728954</t>
  </si>
  <si>
    <t>01:32 pm</t>
  </si>
  <si>
    <t>T2604191331558468789384</t>
  </si>
  <si>
    <t>182499695910</t>
  </si>
  <si>
    <t>04:17 pm</t>
  </si>
  <si>
    <t>T2604181617527196277261</t>
  </si>
  <si>
    <t>421723561705</t>
  </si>
  <si>
    <t>04:05 pm</t>
  </si>
  <si>
    <t>T2604171605386993881781</t>
  </si>
  <si>
    <t>691697585704</t>
  </si>
  <si>
    <t>T2604162026028826902337</t>
  </si>
  <si>
    <t>594414378354</t>
  </si>
  <si>
    <t>07:53 pm</t>
  </si>
  <si>
    <t>T2604161952586574454118</t>
  </si>
  <si>
    <t>208972987172</t>
  </si>
  <si>
    <t>T2604161810329001183183</t>
  </si>
  <si>
    <t>102946406191</t>
  </si>
  <si>
    <t>12:47 pm</t>
  </si>
  <si>
    <t>T2604161247005430058860</t>
  </si>
  <si>
    <t>000642078869</t>
  </si>
  <si>
    <t>T2604151818049208378659</t>
  </si>
  <si>
    <t>289760650718</t>
  </si>
  <si>
    <t>T2604151814288450330599</t>
  </si>
  <si>
    <t>776455334747</t>
  </si>
  <si>
    <t>T2604151813357911482752</t>
  </si>
  <si>
    <t>772157912040</t>
  </si>
  <si>
    <t>T2604151754141556346783</t>
  </si>
  <si>
    <t>835819371249</t>
  </si>
  <si>
    <t>07:30 am</t>
  </si>
  <si>
    <t>T2604150730182137740183</t>
  </si>
  <si>
    <t>518973042574</t>
  </si>
  <si>
    <t>08:56 pm</t>
  </si>
  <si>
    <t>T2604142056197485264253</t>
  </si>
  <si>
    <t>918054218389</t>
  </si>
  <si>
    <t>T2604141755514734501219</t>
  </si>
  <si>
    <t>626470820851</t>
  </si>
  <si>
    <t>T2604141725381215955168</t>
  </si>
  <si>
    <t>782405166670</t>
  </si>
  <si>
    <t>09:55 am</t>
  </si>
  <si>
    <t>T2604140955040966948747</t>
  </si>
  <si>
    <t>767396351998</t>
  </si>
  <si>
    <t>T2604131637071595128854</t>
  </si>
  <si>
    <t>259522072652</t>
  </si>
  <si>
    <t>11:57 am</t>
  </si>
  <si>
    <t>T2604131157248462409543</t>
  </si>
  <si>
    <t>017121850499</t>
  </si>
  <si>
    <t>09:08 am</t>
  </si>
  <si>
    <t>T2604130908242134965181</t>
  </si>
  <si>
    <t>759833085246</t>
  </si>
  <si>
    <t>04:26 pm</t>
  </si>
  <si>
    <t>T2604121626349050490500</t>
  </si>
  <si>
    <t>699073206019</t>
  </si>
  <si>
    <t>07:40 am</t>
  </si>
  <si>
    <t>T2604100740052792498896</t>
  </si>
  <si>
    <t>262618796974</t>
  </si>
  <si>
    <t>T2604071516072396526391</t>
  </si>
  <si>
    <t>139351931797</t>
  </si>
  <si>
    <t>07:39 pm</t>
  </si>
  <si>
    <t>T2604061939009497763740</t>
  </si>
  <si>
    <t>097352511046</t>
  </si>
  <si>
    <t>03:41 pm</t>
  </si>
  <si>
    <t>T2604061541560038382486</t>
  </si>
  <si>
    <t>245683565565</t>
  </si>
  <si>
    <t>08:36 pm</t>
  </si>
  <si>
    <t>T2604042036503979977012</t>
  </si>
  <si>
    <t>428131785504</t>
  </si>
  <si>
    <t>T2604042003493855537525</t>
  </si>
  <si>
    <t>102609765189</t>
  </si>
  <si>
    <t>T2604021923317908234294</t>
  </si>
  <si>
    <t>916980551350</t>
  </si>
  <si>
    <t>07:15 pm</t>
  </si>
  <si>
    <t>T2604011915147445135293</t>
  </si>
  <si>
    <t>224684048302</t>
  </si>
  <si>
    <t>Mar</t>
  </si>
  <si>
    <t>08:06 pm</t>
  </si>
  <si>
    <t>T2603312006466598944341</t>
  </si>
  <si>
    <t>141801677766</t>
  </si>
  <si>
    <t>08:05 pm</t>
  </si>
  <si>
    <t>T2603312005355696465576</t>
  </si>
  <si>
    <t>133987534326</t>
  </si>
  <si>
    <t>07:31 pm</t>
  </si>
  <si>
    <t>T2603311931212347083021</t>
  </si>
  <si>
    <t>558036749843</t>
  </si>
  <si>
    <t>07:19 pm</t>
  </si>
  <si>
    <t>T2603311919536898345830</t>
  </si>
  <si>
    <t>716967279884</t>
  </si>
  <si>
    <t>07:14 pm</t>
  </si>
  <si>
    <t>T2603311914495823438687</t>
  </si>
  <si>
    <t>179409796744</t>
  </si>
  <si>
    <t>T2603311912456072881349</t>
  </si>
  <si>
    <t>396871582285</t>
  </si>
  <si>
    <t>T2603311336385864913939</t>
  </si>
  <si>
    <t>410213103397</t>
  </si>
  <si>
    <t>11:06 am</t>
  </si>
  <si>
    <t>T2603301106279121518558</t>
  </si>
  <si>
    <t>132459769054</t>
  </si>
  <si>
    <t>T2603281725442052402195</t>
  </si>
  <si>
    <t>272040111682</t>
  </si>
  <si>
    <t>09:11 pm</t>
  </si>
  <si>
    <t>T2603272111311073955864</t>
  </si>
  <si>
    <t>016972490480</t>
  </si>
  <si>
    <t>08:08 pm</t>
  </si>
  <si>
    <t>T2603272008095783955909</t>
  </si>
  <si>
    <t>612769301708</t>
  </si>
  <si>
    <t>T2603271849136505080732</t>
  </si>
  <si>
    <t>248919318816</t>
  </si>
  <si>
    <t>T2603222006275508944343</t>
  </si>
  <si>
    <t>461079327535</t>
  </si>
  <si>
    <t>07:52 pm</t>
  </si>
  <si>
    <t>T2603221952025434484475</t>
  </si>
  <si>
    <t>468554940600</t>
  </si>
  <si>
    <t>T2603211851048084484056</t>
  </si>
  <si>
    <t>513685226077</t>
  </si>
  <si>
    <t>T2603201609223916557043</t>
  </si>
  <si>
    <t>437402750418</t>
  </si>
  <si>
    <t>T2603201600005528851720</t>
  </si>
  <si>
    <t>596179672656</t>
  </si>
  <si>
    <t>T2603201549531686173988</t>
  </si>
  <si>
    <t>607974317965</t>
  </si>
  <si>
    <t>T2603191901286115832110</t>
  </si>
  <si>
    <t>495888631155</t>
  </si>
  <si>
    <t>T2603161151582168319767</t>
  </si>
  <si>
    <t>083122886280</t>
  </si>
  <si>
    <t>10:24 am</t>
  </si>
  <si>
    <t>T2603131024506586300119</t>
  </si>
  <si>
    <t>874963551685</t>
  </si>
  <si>
    <t>T2603121852462873871829</t>
  </si>
  <si>
    <t>428611308567</t>
  </si>
  <si>
    <t>T2603121056357110294565</t>
  </si>
  <si>
    <t>724588274922</t>
  </si>
  <si>
    <t>11:44 am</t>
  </si>
  <si>
    <t>T2603101144278556530984</t>
  </si>
  <si>
    <t>729488163158</t>
  </si>
  <si>
    <t>10:11 pm</t>
  </si>
  <si>
    <t>T2603042211127287700077</t>
  </si>
  <si>
    <t>748591169759</t>
  </si>
  <si>
    <t>06:12 pm</t>
  </si>
  <si>
    <t>T2603041812246507959083</t>
  </si>
  <si>
    <t>704750312225</t>
  </si>
  <si>
    <t>T2603041810548217481050</t>
  </si>
  <si>
    <t>565214500336</t>
  </si>
  <si>
    <t>10:22 pm</t>
  </si>
  <si>
    <t>T2603032222255135352099</t>
  </si>
  <si>
    <t>736060715459</t>
  </si>
  <si>
    <t>10:17 pm</t>
  </si>
  <si>
    <t>T2603032216597712217039</t>
  </si>
  <si>
    <t>991760868637</t>
  </si>
  <si>
    <t>T2603031935453627700144</t>
  </si>
  <si>
    <t>119457332527</t>
  </si>
  <si>
    <t>T2603031934109709611815</t>
  </si>
  <si>
    <t>430079372674</t>
  </si>
  <si>
    <t>07:27 pm</t>
  </si>
  <si>
    <t>T2603031927509965916893</t>
  </si>
  <si>
    <t>254735028056</t>
  </si>
  <si>
    <t>03:10 pm</t>
  </si>
  <si>
    <t>T2603031510206985916297</t>
  </si>
  <si>
    <t>003324314604</t>
  </si>
  <si>
    <t>09:20 am</t>
  </si>
  <si>
    <t>T2603030920109818390861</t>
  </si>
  <si>
    <t>401470316944</t>
  </si>
  <si>
    <t>07:22 am</t>
  </si>
  <si>
    <t>T2603030722077240799114</t>
  </si>
  <si>
    <t>576911112198</t>
  </si>
  <si>
    <t>T2603021848414116746284</t>
  </si>
  <si>
    <t>546869907545</t>
  </si>
  <si>
    <t>03:39 pm</t>
  </si>
  <si>
    <t>NB26030215395134072344412</t>
  </si>
  <si>
    <t>065723203989</t>
  </si>
  <si>
    <t>NB26030215381836841553822</t>
  </si>
  <si>
    <t>980688354284</t>
  </si>
  <si>
    <t>Feb</t>
  </si>
  <si>
    <t>T2602282004372466707074</t>
  </si>
  <si>
    <t>071895201380</t>
  </si>
  <si>
    <t>T2602281931492569315636</t>
  </si>
  <si>
    <t>767561679438</t>
  </si>
  <si>
    <t>NB26022819303464764677152</t>
  </si>
  <si>
    <t>748393549157</t>
  </si>
  <si>
    <t>08:44 pm</t>
  </si>
  <si>
    <t>T2602242043570722996788</t>
  </si>
  <si>
    <t>441592821830</t>
  </si>
  <si>
    <t>07:16 pm</t>
  </si>
  <si>
    <t>T2602241916274075831384</t>
  </si>
  <si>
    <t>238612397001</t>
  </si>
  <si>
    <t>T2602241912549598812853</t>
  </si>
  <si>
    <t>357241785634</t>
  </si>
  <si>
    <t>T2602201953453943684842</t>
  </si>
  <si>
    <t>200558610805</t>
  </si>
  <si>
    <t>09:30 pm</t>
  </si>
  <si>
    <t>T2602192130240082186900</t>
  </si>
  <si>
    <t>910340265582</t>
  </si>
  <si>
    <t>NB26021916523147513572072</t>
  </si>
  <si>
    <t>997380176572</t>
  </si>
  <si>
    <t>10:03 pm</t>
  </si>
  <si>
    <t>T2602182203080405527849</t>
  </si>
  <si>
    <t>344978041233</t>
  </si>
  <si>
    <t>T2602181429439353006987</t>
  </si>
  <si>
    <t>487716427919</t>
  </si>
  <si>
    <t>02:05 pm</t>
  </si>
  <si>
    <t>T2602181405045190453943</t>
  </si>
  <si>
    <t>860120973574</t>
  </si>
  <si>
    <t>T2602172003044012005085</t>
  </si>
  <si>
    <t>604882040329</t>
  </si>
  <si>
    <t>T2602171825483749887914</t>
  </si>
  <si>
    <t>075213460852</t>
  </si>
  <si>
    <t>T2602171731399945046234</t>
  </si>
  <si>
    <t>462733843543</t>
  </si>
  <si>
    <t>T2602171658043266302512</t>
  </si>
  <si>
    <t>761558775053</t>
  </si>
  <si>
    <t>04:43 pm</t>
  </si>
  <si>
    <t>T2602171642576602602365</t>
  </si>
  <si>
    <t>319969642040</t>
  </si>
  <si>
    <t>T2602141946147406329092</t>
  </si>
  <si>
    <t>923153691711</t>
  </si>
  <si>
    <t>07:18 pm</t>
  </si>
  <si>
    <t>T2602141918452396189729</t>
  </si>
  <si>
    <t>637785926588</t>
  </si>
  <si>
    <t>T2602141914213798732571</t>
  </si>
  <si>
    <t>578345886540</t>
  </si>
  <si>
    <t>07:07 pm</t>
  </si>
  <si>
    <t>T2602141907511257484687</t>
  </si>
  <si>
    <t>397290995768</t>
  </si>
  <si>
    <t>T2602141422412880230644</t>
  </si>
  <si>
    <t>563566452734</t>
  </si>
  <si>
    <t>T2602131838522880967705</t>
  </si>
  <si>
    <t>946032957039</t>
  </si>
  <si>
    <t>T2602131759375576093322</t>
  </si>
  <si>
    <t>839203581791</t>
  </si>
  <si>
    <t>05:20 pm</t>
  </si>
  <si>
    <t>T2602131720558412275334</t>
  </si>
  <si>
    <t>141165502899</t>
  </si>
  <si>
    <t>05:05 pm</t>
  </si>
  <si>
    <t>T2602131705096375243001</t>
  </si>
  <si>
    <t>154561678330</t>
  </si>
  <si>
    <t>08:11 pm</t>
  </si>
  <si>
    <t>T2602122011155965524640</t>
  </si>
  <si>
    <t>290138353503</t>
  </si>
  <si>
    <t>06:53 pm</t>
  </si>
  <si>
    <t>T2602121853312810208846</t>
  </si>
  <si>
    <t>183104403431</t>
  </si>
  <si>
    <t>T2602121755520218418479</t>
  </si>
  <si>
    <t>794620651140</t>
  </si>
  <si>
    <t>T2602121730334882174280</t>
  </si>
  <si>
    <t>777886236203</t>
  </si>
  <si>
    <t>03:51 pm</t>
  </si>
  <si>
    <t>T2602081551063915744506</t>
  </si>
  <si>
    <t>781384639502</t>
  </si>
  <si>
    <t>09:13 pm</t>
  </si>
  <si>
    <t>T2602072113293604023549</t>
  </si>
  <si>
    <t>982940336789</t>
  </si>
  <si>
    <t>T2602071927202592938548</t>
  </si>
  <si>
    <t>724734994049</t>
  </si>
  <si>
    <t>06:03 pm</t>
  </si>
  <si>
    <t>T2602071803309010888457</t>
  </si>
  <si>
    <t>319337684172</t>
  </si>
  <si>
    <t>01:00 pm</t>
  </si>
  <si>
    <t>T2602071300205444330829</t>
  </si>
  <si>
    <t>003869627371</t>
  </si>
  <si>
    <t>T2602061807237539320699</t>
  </si>
  <si>
    <t>349551820188</t>
  </si>
  <si>
    <t>T2602061421404058279471</t>
  </si>
  <si>
    <t>164585517087</t>
  </si>
  <si>
    <t>T2602051831100520361274</t>
  </si>
  <si>
    <t>332962888302</t>
  </si>
  <si>
    <t>07:06 pm</t>
  </si>
  <si>
    <t>T2602041905596251118154</t>
  </si>
  <si>
    <t>211564013904</t>
  </si>
  <si>
    <t>T2602021944404169418668</t>
  </si>
  <si>
    <t>032383629490</t>
  </si>
  <si>
    <t>04:14 pm</t>
  </si>
  <si>
    <t>T2602011614375787065267</t>
  </si>
  <si>
    <t>059352651815</t>
  </si>
  <si>
    <t>T2602010007550686293421</t>
  </si>
  <si>
    <t>834543297467</t>
  </si>
  <si>
    <t>Jan</t>
  </si>
  <si>
    <t>T2601311915330206960749</t>
  </si>
  <si>
    <t>793664466719</t>
  </si>
  <si>
    <t>05:46 pm</t>
  </si>
  <si>
    <t>T2601281746125868792433</t>
  </si>
  <si>
    <t>918721481732</t>
  </si>
  <si>
    <t>10:11 am</t>
  </si>
  <si>
    <t>T2601281011146333909428</t>
  </si>
  <si>
    <t>948317381296</t>
  </si>
  <si>
    <t>02:46 pm</t>
  </si>
  <si>
    <t>T2601261446441058502352</t>
  </si>
  <si>
    <t>300567310139</t>
  </si>
  <si>
    <t>T2601261446270936780351</t>
  </si>
  <si>
    <t>976282484141</t>
  </si>
  <si>
    <t>T2601251104559870773081</t>
  </si>
  <si>
    <t>704437413548</t>
  </si>
  <si>
    <t>T2601241357385257954137</t>
  </si>
  <si>
    <t>207616578826</t>
  </si>
  <si>
    <t>11:55 am</t>
  </si>
  <si>
    <t>T2601241155096286482801</t>
  </si>
  <si>
    <t>608852407295</t>
  </si>
  <si>
    <t>10:46 am</t>
  </si>
  <si>
    <t>T2601241046422841779869</t>
  </si>
  <si>
    <t>129593882923</t>
  </si>
  <si>
    <t>10:14 am</t>
  </si>
  <si>
    <t>T2601241014495163141599</t>
  </si>
  <si>
    <t>063954234860</t>
  </si>
  <si>
    <t>T2601231611090022212352</t>
  </si>
  <si>
    <t>784672662822</t>
  </si>
  <si>
    <t>08:45 am</t>
  </si>
  <si>
    <t>T2601200845220818818356</t>
  </si>
  <si>
    <t>625858046610</t>
  </si>
  <si>
    <t>T2601181824438005357766</t>
  </si>
  <si>
    <t>209820666580</t>
  </si>
  <si>
    <t>06:23 pm</t>
  </si>
  <si>
    <t>T2601181823066382071360</t>
  </si>
  <si>
    <t>638701046715</t>
  </si>
  <si>
    <t>T2601181308563956045800</t>
  </si>
  <si>
    <t>293302869293</t>
  </si>
  <si>
    <t>T2601161452250323528114</t>
  </si>
  <si>
    <t>230014822331</t>
  </si>
  <si>
    <t>04:59 am</t>
  </si>
  <si>
    <t>T2601160459413478825592</t>
  </si>
  <si>
    <t>652954026899</t>
  </si>
  <si>
    <t>05:10 pm</t>
  </si>
  <si>
    <t>T2601151710457573403747</t>
  </si>
  <si>
    <t>677340331339</t>
  </si>
  <si>
    <t>NB26011411425856031392092</t>
  </si>
  <si>
    <t>230666071404</t>
  </si>
  <si>
    <t>09:06 pm</t>
  </si>
  <si>
    <t>T2601132106109519719574</t>
  </si>
  <si>
    <t>415209574611</t>
  </si>
  <si>
    <t>01:31 pm</t>
  </si>
  <si>
    <t>T2601121331327614868667</t>
  </si>
  <si>
    <t>585660154917</t>
  </si>
  <si>
    <t>07:55 am</t>
  </si>
  <si>
    <t>T2601100755210374933334</t>
  </si>
  <si>
    <t>238239898237</t>
  </si>
  <si>
    <t>10:15 pm</t>
  </si>
  <si>
    <t>T2601082215144940131762</t>
  </si>
  <si>
    <t>330927034955</t>
  </si>
  <si>
    <t>07:02 pm</t>
  </si>
  <si>
    <t>T2601061902394208896566</t>
  </si>
  <si>
    <t>600672767448</t>
  </si>
  <si>
    <t>T2601061626375298066393</t>
  </si>
  <si>
    <t>192237163570</t>
  </si>
  <si>
    <t>T2601052004133111112788</t>
  </si>
  <si>
    <t>284390224708</t>
  </si>
  <si>
    <t>T2601050917323281036798</t>
  </si>
  <si>
    <t>948308422566</t>
  </si>
  <si>
    <t>05:58 pm</t>
  </si>
  <si>
    <t>T2601041758131745090130</t>
  </si>
  <si>
    <t>746478190799</t>
  </si>
  <si>
    <t>T2601011113382332904419</t>
  </si>
  <si>
    <t>989683996393</t>
  </si>
  <si>
    <t>Dec</t>
  </si>
  <si>
    <t>07:09 pm</t>
  </si>
  <si>
    <t>T2512311909361275415491</t>
  </si>
  <si>
    <t>344157251195</t>
  </si>
  <si>
    <t>08:01 pm</t>
  </si>
  <si>
    <t>T2512302001023294219664</t>
  </si>
  <si>
    <t>536470422196</t>
  </si>
  <si>
    <t>T2512292107239662937965</t>
  </si>
  <si>
    <t>682431469393</t>
  </si>
  <si>
    <t>T2512292000076931591986</t>
  </si>
  <si>
    <t>535241777821</t>
  </si>
  <si>
    <t>06:46 pm</t>
  </si>
  <si>
    <t>T2512291846377041209838</t>
  </si>
  <si>
    <t>064534477507</t>
  </si>
  <si>
    <t>T2512291831425711611785</t>
  </si>
  <si>
    <t>268865001564</t>
  </si>
  <si>
    <t>10:36 pm</t>
  </si>
  <si>
    <t>T2512282236280353682993</t>
  </si>
  <si>
    <t>100444000428</t>
  </si>
  <si>
    <t>T2512281014292033632942</t>
  </si>
  <si>
    <t>952030170353</t>
  </si>
  <si>
    <t>T2512271955245405405548</t>
  </si>
  <si>
    <t>505997374397</t>
  </si>
  <si>
    <t>T2512271954564861955000</t>
  </si>
  <si>
    <t>873741685071</t>
  </si>
  <si>
    <t>T2512261233069893242675</t>
  </si>
  <si>
    <t>509720743709</t>
  </si>
  <si>
    <t>07:48 am</t>
  </si>
  <si>
    <t>T2512250748439536552560</t>
  </si>
  <si>
    <t>883076196927</t>
  </si>
  <si>
    <t>T2512222026331759353897</t>
  </si>
  <si>
    <t>944654681123</t>
  </si>
  <si>
    <t>T2512221429488499927671</t>
  </si>
  <si>
    <t>254210124233</t>
  </si>
  <si>
    <t>T2512211804456945672128</t>
  </si>
  <si>
    <t>705353017017</t>
  </si>
  <si>
    <t>01:08 pm</t>
  </si>
  <si>
    <t>T2512211308420741332431</t>
  </si>
  <si>
    <t>777354509473</t>
  </si>
  <si>
    <t>03:14 pm</t>
  </si>
  <si>
    <t>T2512201514547109266056</t>
  </si>
  <si>
    <t>949956482498</t>
  </si>
  <si>
    <t>09:08 pm</t>
  </si>
  <si>
    <t>T2512182107531390158465</t>
  </si>
  <si>
    <t>816141358415</t>
  </si>
  <si>
    <t>03:20 pm</t>
  </si>
  <si>
    <t>T2512181520396470810661</t>
  </si>
  <si>
    <t>135055015032</t>
  </si>
  <si>
    <t>06:42 pm</t>
  </si>
  <si>
    <t>T2512161842447687222362</t>
  </si>
  <si>
    <t>591622584785</t>
  </si>
  <si>
    <t>T2512151823256418159682</t>
  </si>
  <si>
    <t>571522897937</t>
  </si>
  <si>
    <t>02:34 pm</t>
  </si>
  <si>
    <t>T2512141434191724597674</t>
  </si>
  <si>
    <t>797245476875</t>
  </si>
  <si>
    <t>07:53 am</t>
  </si>
  <si>
    <t>T2512140753079524681426</t>
  </si>
  <si>
    <t>621767337571</t>
  </si>
  <si>
    <t>T2512131931340092480087</t>
  </si>
  <si>
    <t>268190910974</t>
  </si>
  <si>
    <t>07:20 pm</t>
  </si>
  <si>
    <t>T2512131920219765666657</t>
  </si>
  <si>
    <t>556638739293</t>
  </si>
  <si>
    <t>05:53 pm</t>
  </si>
  <si>
    <t>T2512131753064512264125</t>
  </si>
  <si>
    <t>577256947407</t>
  </si>
  <si>
    <t>09:28 pm</t>
  </si>
  <si>
    <t>T2512082128235951526220</t>
  </si>
  <si>
    <t>601768629261</t>
  </si>
  <si>
    <t>T2512082103495954994539</t>
  </si>
  <si>
    <t>157731434615</t>
  </si>
  <si>
    <t>T2512081331113446421231</t>
  </si>
  <si>
    <t>483302542732</t>
  </si>
  <si>
    <t>T2512071718050754549438</t>
  </si>
  <si>
    <t>050060330525</t>
  </si>
  <si>
    <t>T2512071309227595734465</t>
  </si>
  <si>
    <t>704716065732</t>
  </si>
  <si>
    <t>09:00 pm</t>
  </si>
  <si>
    <t>T2512062100250742252729</t>
  </si>
  <si>
    <t>172939750223</t>
  </si>
  <si>
    <t>08:37 pm</t>
  </si>
  <si>
    <t>T2512062037146793264063</t>
  </si>
  <si>
    <t>570691180253</t>
  </si>
  <si>
    <t>T2512022006422640320133</t>
  </si>
  <si>
    <t>374229330849</t>
  </si>
  <si>
    <t>06:00 pm</t>
  </si>
  <si>
    <t>T2512011800136439348888</t>
  </si>
  <si>
    <t>528611077981</t>
  </si>
  <si>
    <t>Nov</t>
  </si>
  <si>
    <t>06:05 pm</t>
  </si>
  <si>
    <t>T2511301805117803658788</t>
  </si>
  <si>
    <t>438475732028</t>
  </si>
  <si>
    <t>11:24 am</t>
  </si>
  <si>
    <t>T2511291124285369348064</t>
  </si>
  <si>
    <t>316288757809</t>
  </si>
  <si>
    <t>11:58 am</t>
  </si>
  <si>
    <t>T2511281158385293412112</t>
  </si>
  <si>
    <t>680034861685</t>
  </si>
  <si>
    <t>11:20 am</t>
  </si>
  <si>
    <t>T2511281120275210012126</t>
  </si>
  <si>
    <t>747772144376</t>
  </si>
  <si>
    <t>10:37 am</t>
  </si>
  <si>
    <t>T2511281037158769519258</t>
  </si>
  <si>
    <t>001311084803</t>
  </si>
  <si>
    <t>08:40 am</t>
  </si>
  <si>
    <t>T2511270840563599075889</t>
  </si>
  <si>
    <t>180880299395</t>
  </si>
  <si>
    <t>T2511261851384302785640</t>
  </si>
  <si>
    <t>516391514906</t>
  </si>
  <si>
    <t>T2511221950322822515189</t>
  </si>
  <si>
    <t>358695592563</t>
  </si>
  <si>
    <t>07:03 pm</t>
  </si>
  <si>
    <t>T2511221903356102821961</t>
  </si>
  <si>
    <t>342266467861</t>
  </si>
  <si>
    <t>T2511201818082468231528</t>
  </si>
  <si>
    <t>522420584488</t>
  </si>
  <si>
    <t>01:29 pm</t>
  </si>
  <si>
    <t>T2511201329305754237582</t>
  </si>
  <si>
    <t>060056172923</t>
  </si>
  <si>
    <t>10:43 pm</t>
  </si>
  <si>
    <t>NX25111922435144196771381</t>
  </si>
  <si>
    <t>846913599409</t>
  </si>
  <si>
    <t>09:05 pm</t>
  </si>
  <si>
    <t>T2511192105166020450385</t>
  </si>
  <si>
    <t>295368841298</t>
  </si>
  <si>
    <t>T2511181510508913923259</t>
  </si>
  <si>
    <t>370331694558</t>
  </si>
  <si>
    <t>03:08 pm</t>
  </si>
  <si>
    <t>T2511181508085219018571</t>
  </si>
  <si>
    <t>705314343604</t>
  </si>
  <si>
    <t>T2511181257432359334874</t>
  </si>
  <si>
    <t>004437547037</t>
  </si>
  <si>
    <t>T2511171747466798566698</t>
  </si>
  <si>
    <t>007459917124</t>
  </si>
  <si>
    <t>T2511171722569794987533</t>
  </si>
  <si>
    <t>506738650711</t>
  </si>
  <si>
    <t>08:28 am</t>
  </si>
  <si>
    <t>T2511170828125585651912</t>
  </si>
  <si>
    <t>372983056245</t>
  </si>
  <si>
    <t>10:14 pm</t>
  </si>
  <si>
    <t>NX25111522142104688366361</t>
  </si>
  <si>
    <t>516220700789</t>
  </si>
  <si>
    <t>T2511121601129040156121</t>
  </si>
  <si>
    <t>342948775274</t>
  </si>
  <si>
    <t>07:57 am</t>
  </si>
  <si>
    <t>T2511110757146981901469</t>
  </si>
  <si>
    <t>730608894373</t>
  </si>
  <si>
    <t>T2511101813418839020849</t>
  </si>
  <si>
    <t>543732994221</t>
  </si>
  <si>
    <t>T2511101734059914625418</t>
  </si>
  <si>
    <t>916900419868</t>
  </si>
  <si>
    <t>T2511101732266709804531</t>
  </si>
  <si>
    <t>871473274414</t>
  </si>
  <si>
    <t>10:06 pm</t>
  </si>
  <si>
    <t>T2511082206119887315583</t>
  </si>
  <si>
    <t>917434939637</t>
  </si>
  <si>
    <t>05:38 pm</t>
  </si>
  <si>
    <t>T2511081738013394884264</t>
  </si>
  <si>
    <t>450795725262</t>
  </si>
  <si>
    <t>02:15 pm</t>
  </si>
  <si>
    <t>T2511081414577892399940</t>
  </si>
  <si>
    <t>493868969504</t>
  </si>
  <si>
    <t>T2511081048561075960408</t>
  </si>
  <si>
    <t>355317127835</t>
  </si>
  <si>
    <t>06:44 pm</t>
  </si>
  <si>
    <t>T2511071844138884476433</t>
  </si>
  <si>
    <t>495262072668</t>
  </si>
  <si>
    <t>05:14 pm</t>
  </si>
  <si>
    <t>NX25110617135947793786491</t>
  </si>
  <si>
    <t>855159975781</t>
  </si>
  <si>
    <t>T2511031809547988784579</t>
  </si>
  <si>
    <t>002060570205</t>
  </si>
  <si>
    <t>08:03 am</t>
  </si>
  <si>
    <t>T2511030803192877240496</t>
  </si>
  <si>
    <t>949694211293</t>
  </si>
  <si>
    <t>Oct</t>
  </si>
  <si>
    <t>09:49 pm</t>
  </si>
  <si>
    <t>T2510312148562361088728</t>
  </si>
  <si>
    <t>048041197882</t>
  </si>
  <si>
    <t>T2510311906285742371346</t>
  </si>
  <si>
    <t>501177769011</t>
  </si>
  <si>
    <t>T2510311815360131134262</t>
  </si>
  <si>
    <t>483708856510</t>
  </si>
  <si>
    <t>T2510311810139410991658</t>
  </si>
  <si>
    <t>906809662058</t>
  </si>
  <si>
    <t>T2510311758276235372276</t>
  </si>
  <si>
    <t>513742062090</t>
  </si>
  <si>
    <t>06:16 pm</t>
  </si>
  <si>
    <t>NX25102918165083835369411</t>
  </si>
  <si>
    <t>573216233992</t>
  </si>
  <si>
    <t>T2510261912355211996114</t>
  </si>
  <si>
    <t>072062578676</t>
  </si>
  <si>
    <t>12:58 pm</t>
  </si>
  <si>
    <t>T2510251258528885512120</t>
  </si>
  <si>
    <t>224888219143</t>
  </si>
  <si>
    <t>02:01 pm</t>
  </si>
  <si>
    <t>T2510241401158959087808</t>
  </si>
  <si>
    <t>566455516133</t>
  </si>
  <si>
    <t>09:13 am</t>
  </si>
  <si>
    <t>T2510220912586906885167</t>
  </si>
  <si>
    <t>679354753083</t>
  </si>
  <si>
    <t>08:12 am</t>
  </si>
  <si>
    <t>T2510220812124658462974</t>
  </si>
  <si>
    <t>095179789665</t>
  </si>
  <si>
    <t>NX25102120114611723063311</t>
  </si>
  <si>
    <t>074805713214</t>
  </si>
  <si>
    <t>T2510211718572585637645</t>
  </si>
  <si>
    <t>566017534750</t>
  </si>
  <si>
    <t>T2510211424252273532223</t>
  </si>
  <si>
    <t>799553811977</t>
  </si>
  <si>
    <t>02:08 pm</t>
  </si>
  <si>
    <t>T2510211408409702283442</t>
  </si>
  <si>
    <t>004198322187</t>
  </si>
  <si>
    <t>10:19 am</t>
  </si>
  <si>
    <t>T2510211019297421798886</t>
  </si>
  <si>
    <t>360922683704</t>
  </si>
  <si>
    <t>07:01 am</t>
  </si>
  <si>
    <t>T2510200701096041566841</t>
  </si>
  <si>
    <t>197561709734</t>
  </si>
  <si>
    <t>T2510191357153597904666</t>
  </si>
  <si>
    <t>990498273604</t>
  </si>
  <si>
    <t>07:32 pm</t>
  </si>
  <si>
    <t>T2510131932263204338132</t>
  </si>
  <si>
    <t>803289851621</t>
  </si>
  <si>
    <t>T2510111849252948605453</t>
  </si>
  <si>
    <t>568063613382</t>
  </si>
  <si>
    <t>NX25101118484514868543721</t>
  </si>
  <si>
    <t>437552404944</t>
  </si>
  <si>
    <t>T2510091448215128884467</t>
  </si>
  <si>
    <t>237453425609</t>
  </si>
  <si>
    <t>T2510091434381245294262</t>
  </si>
  <si>
    <t>883756973296</t>
  </si>
  <si>
    <t>T2510062020471418568963</t>
  </si>
  <si>
    <t>480007667261</t>
  </si>
  <si>
    <t>T2510061931283436418157</t>
  </si>
  <si>
    <t>634487430020</t>
  </si>
  <si>
    <t>T2510061918201008366429</t>
  </si>
  <si>
    <t>779459146026</t>
  </si>
  <si>
    <t>T2510061848125540921662</t>
  </si>
  <si>
    <t>641101817968</t>
  </si>
  <si>
    <t>06:40 pm</t>
  </si>
  <si>
    <t>T2510061840506446418804</t>
  </si>
  <si>
    <t>315936435945</t>
  </si>
  <si>
    <t>04:35 pm</t>
  </si>
  <si>
    <t>T2510051635276386109880</t>
  </si>
  <si>
    <t>586847805593</t>
  </si>
  <si>
    <t>T2510021912067604479772</t>
  </si>
  <si>
    <t>543384985155</t>
  </si>
  <si>
    <t>Sep</t>
  </si>
  <si>
    <t>11:08 pm</t>
  </si>
  <si>
    <t>T2509302308192594013977</t>
  </si>
  <si>
    <t>466877354024</t>
  </si>
  <si>
    <t>T2509301844355766282423</t>
  </si>
  <si>
    <t>424134473869</t>
  </si>
  <si>
    <t>T2509281435197531807971</t>
  </si>
  <si>
    <t>394055012735</t>
  </si>
  <si>
    <t>T2509281433013077684086</t>
  </si>
  <si>
    <t>802938853219</t>
  </si>
  <si>
    <t>06:35 am</t>
  </si>
  <si>
    <t>T2509280635225227421791</t>
  </si>
  <si>
    <t>162843082747</t>
  </si>
  <si>
    <t>T2509261855284916639745</t>
  </si>
  <si>
    <t>077555719922</t>
  </si>
  <si>
    <t>T2509252231179346915339</t>
  </si>
  <si>
    <t>942507826896</t>
  </si>
  <si>
    <t>10:21 pm</t>
  </si>
  <si>
    <t>T2509252221311137097350</t>
  </si>
  <si>
    <t>105896253910</t>
  </si>
  <si>
    <t>11:22 am</t>
  </si>
  <si>
    <t>T2509241122237110377225</t>
  </si>
  <si>
    <t>631425481448</t>
  </si>
  <si>
    <t>08:42 pm</t>
  </si>
  <si>
    <t>T2509222041583512614205</t>
  </si>
  <si>
    <t>222563892561</t>
  </si>
  <si>
    <t>T2509222018315211627298</t>
  </si>
  <si>
    <t>592796675597</t>
  </si>
  <si>
    <t>T2509202020270851092256</t>
  </si>
  <si>
    <t>125074661774</t>
  </si>
  <si>
    <t>T2509181936123751999739</t>
  </si>
  <si>
    <t>202175866347</t>
  </si>
  <si>
    <t>03:40 pm</t>
  </si>
  <si>
    <t>T2509181539575096983571</t>
  </si>
  <si>
    <t>603031746048</t>
  </si>
  <si>
    <t>03:03 pm</t>
  </si>
  <si>
    <t>T2509181503425556262361</t>
  </si>
  <si>
    <t>817309035797</t>
  </si>
  <si>
    <t>NX25091718422024753981871</t>
  </si>
  <si>
    <t>511989398480</t>
  </si>
  <si>
    <t>12:51 pm</t>
  </si>
  <si>
    <t>T2509101251122706916737</t>
  </si>
  <si>
    <t>927540486232</t>
  </si>
  <si>
    <t>NX25090520035962958395641</t>
  </si>
  <si>
    <t>446921937933</t>
  </si>
  <si>
    <t>T2509051446091179928636</t>
  </si>
  <si>
    <t>491606274521</t>
  </si>
  <si>
    <t>12:12 pm</t>
  </si>
  <si>
    <t>T2509051212252045404874</t>
  </si>
  <si>
    <t>687144519634</t>
  </si>
  <si>
    <t>T2509042026269122756443</t>
  </si>
  <si>
    <t>857986047063</t>
  </si>
  <si>
    <t>T2509041826430124319220</t>
  </si>
  <si>
    <t>250948450865</t>
  </si>
  <si>
    <t>09:00 am</t>
  </si>
  <si>
    <t>T2509040900224449094753</t>
  </si>
  <si>
    <t>425287784178</t>
  </si>
  <si>
    <t>T2509031549483351961633</t>
  </si>
  <si>
    <t>994140929323</t>
  </si>
  <si>
    <t>T2509021918031926800732</t>
  </si>
  <si>
    <t>175332088475</t>
  </si>
  <si>
    <t>10:47 am</t>
  </si>
  <si>
    <t>T2509021046552700542887</t>
  </si>
  <si>
    <t>831894791846</t>
  </si>
  <si>
    <t>T2509011545141594463353</t>
  </si>
  <si>
    <t>058001552384</t>
  </si>
  <si>
    <t>Aug</t>
  </si>
  <si>
    <t>T2508311744035596421959</t>
  </si>
  <si>
    <t>872467865120</t>
  </si>
  <si>
    <t>T2508302111442838981128</t>
  </si>
  <si>
    <t>334215515646</t>
  </si>
  <si>
    <t>T2508301635266161172454</t>
  </si>
  <si>
    <t>744229747622</t>
  </si>
  <si>
    <t>T2508282102307398371601</t>
  </si>
  <si>
    <t>769593880662</t>
  </si>
  <si>
    <t>08:16 pm</t>
  </si>
  <si>
    <t>T2508282016141253813265</t>
  </si>
  <si>
    <t>087125847402</t>
  </si>
  <si>
    <t>07:42 pm</t>
  </si>
  <si>
    <t>T2508281942247413271839</t>
  </si>
  <si>
    <t>764787912257</t>
  </si>
  <si>
    <t>T2508281919399734536087</t>
  </si>
  <si>
    <t>086049011793</t>
  </si>
  <si>
    <t>T2508281910076023716239</t>
  </si>
  <si>
    <t>561616784358</t>
  </si>
  <si>
    <t>T2508281813407051195060</t>
  </si>
  <si>
    <t>809238845445</t>
  </si>
  <si>
    <t>T2508281800436971832326</t>
  </si>
  <si>
    <t>397263799811</t>
  </si>
  <si>
    <t>05:50 pm</t>
  </si>
  <si>
    <t>T2508281750088604946129</t>
  </si>
  <si>
    <t>405080876957</t>
  </si>
  <si>
    <t>T2508281749279192915059</t>
  </si>
  <si>
    <t>337543526089</t>
  </si>
  <si>
    <t>T2508281730202323128002</t>
  </si>
  <si>
    <t>658869771699</t>
  </si>
  <si>
    <t>T2508281706063009443935</t>
  </si>
  <si>
    <t>524012396543</t>
  </si>
  <si>
    <t>T2508281704255204731797</t>
  </si>
  <si>
    <t>524012341798</t>
  </si>
  <si>
    <t>T2508281701520751873365</t>
  </si>
  <si>
    <t>689806136886</t>
  </si>
  <si>
    <t>T2508261835599557818252</t>
  </si>
  <si>
    <t>659364063396</t>
  </si>
  <si>
    <t>T2508261835209195734314</t>
  </si>
  <si>
    <t>187427569631</t>
  </si>
  <si>
    <t>T2508261807189668986895</t>
  </si>
  <si>
    <t>560476355448</t>
  </si>
  <si>
    <t>T2508261802598300362653</t>
  </si>
  <si>
    <t>560470102472</t>
  </si>
  <si>
    <t>T2508261738525070362869</t>
  </si>
  <si>
    <t>153731549645</t>
  </si>
  <si>
    <t>T2508261735225969319122</t>
  </si>
  <si>
    <t>456157610138</t>
  </si>
  <si>
    <t>T2508251938597852246133</t>
  </si>
  <si>
    <t>472784582764</t>
  </si>
  <si>
    <t>T2508251938100953612644</t>
  </si>
  <si>
    <t>299757300015</t>
  </si>
  <si>
    <t>T2508251834436715386732</t>
  </si>
  <si>
    <t>444625582471</t>
  </si>
  <si>
    <t>T2508251758417646227156</t>
  </si>
  <si>
    <t>205770340001</t>
  </si>
  <si>
    <t>T2508251731395152205596</t>
  </si>
  <si>
    <t>082930616088</t>
  </si>
  <si>
    <t>T2508251714199810890413</t>
  </si>
  <si>
    <t>632642258451</t>
  </si>
  <si>
    <t>T2508251706249377093995</t>
  </si>
  <si>
    <t>819120447255</t>
  </si>
  <si>
    <t>T2508251643429263123979</t>
  </si>
  <si>
    <t>589788396626</t>
  </si>
  <si>
    <t>02:50 pm</t>
  </si>
  <si>
    <t>T2508171450075035920667</t>
  </si>
  <si>
    <t>025851132040</t>
  </si>
  <si>
    <t>06:22 pm</t>
  </si>
  <si>
    <t>T2508161821553355496996</t>
  </si>
  <si>
    <t>711959333022</t>
  </si>
  <si>
    <t>T2508091325481992796362</t>
  </si>
  <si>
    <t>817250994120</t>
  </si>
  <si>
    <t>T2508061550072538505596</t>
  </si>
  <si>
    <t>653769017835</t>
  </si>
  <si>
    <t>T2508061538563648254304</t>
  </si>
  <si>
    <t>285850196005</t>
  </si>
  <si>
    <t>T2508061514296133083610</t>
  </si>
  <si>
    <t>327217410314</t>
  </si>
  <si>
    <t>NB25080521054198745173142</t>
  </si>
  <si>
    <t>500241686957</t>
  </si>
  <si>
    <t>T2508051727432787998425</t>
  </si>
  <si>
    <t>852343904976</t>
  </si>
  <si>
    <t>Jul</t>
  </si>
  <si>
    <t>T2507312056219502464050</t>
  </si>
  <si>
    <t>103247380391</t>
  </si>
  <si>
    <t>T2507301501551311824728</t>
  </si>
  <si>
    <t>399375373074</t>
  </si>
  <si>
    <t>12:43 pm</t>
  </si>
  <si>
    <t>T2507291243019607270148</t>
  </si>
  <si>
    <t>103856940613</t>
  </si>
  <si>
    <t>T2507281404019418146409</t>
  </si>
  <si>
    <t>730266759071</t>
  </si>
  <si>
    <t>01:33 pm</t>
  </si>
  <si>
    <t>T2507281333304914886767</t>
  </si>
  <si>
    <t>617444330782</t>
  </si>
  <si>
    <t>T2507281327557056939900</t>
  </si>
  <si>
    <t>249560166970</t>
  </si>
  <si>
    <t>01:22 pm</t>
  </si>
  <si>
    <t>T2507281322157926299283</t>
  </si>
  <si>
    <t>532331253044</t>
  </si>
  <si>
    <t>11:00 am</t>
  </si>
  <si>
    <t>T2507281100545911249470</t>
  </si>
  <si>
    <t>962350573825</t>
  </si>
  <si>
    <t>T2507271656061475280018</t>
  </si>
  <si>
    <t>204628296556</t>
  </si>
  <si>
    <t>08:54 pm</t>
  </si>
  <si>
    <t>T2507232054156279849846</t>
  </si>
  <si>
    <t>520405039753</t>
  </si>
  <si>
    <t>08:07 pm</t>
  </si>
  <si>
    <t>T2507222007202568433476</t>
  </si>
  <si>
    <t>749565215142</t>
  </si>
  <si>
    <t>T2507210828006487598921</t>
  </si>
  <si>
    <t>062793060807</t>
  </si>
  <si>
    <t>T2507191949524586447919</t>
  </si>
  <si>
    <t>781048337614</t>
  </si>
  <si>
    <t>T2507191942314414513858</t>
  </si>
  <si>
    <t>147306243559</t>
  </si>
  <si>
    <t>T2507191937042257426648</t>
  </si>
  <si>
    <t>135689345571</t>
  </si>
  <si>
    <t>04:18 pm</t>
  </si>
  <si>
    <t>S2507181618238846579691</t>
  </si>
  <si>
    <t>589885717957</t>
  </si>
  <si>
    <t>08:31 am</t>
  </si>
  <si>
    <t>T2507150831397812267596</t>
  </si>
  <si>
    <t>280235176691</t>
  </si>
  <si>
    <t>T2507141516563512934872</t>
  </si>
  <si>
    <t>052955701418</t>
  </si>
  <si>
    <t>T2507131635027832160036</t>
  </si>
  <si>
    <t>806343227769</t>
  </si>
  <si>
    <t>NB25070514463555305291262</t>
  </si>
  <si>
    <t>523397536324</t>
  </si>
  <si>
    <t>07:59 pm</t>
  </si>
  <si>
    <t>T2506221959523289630736</t>
  </si>
  <si>
    <t>451692470812</t>
  </si>
  <si>
    <t>T2506201906021488843201</t>
  </si>
  <si>
    <t>979409396979</t>
  </si>
  <si>
    <t>09:52 am</t>
  </si>
  <si>
    <t>T2506160952112214570332</t>
  </si>
  <si>
    <t>739787734651</t>
  </si>
  <si>
    <t>12:00 pm</t>
  </si>
  <si>
    <t>T2506131200289167802595</t>
  </si>
  <si>
    <t>733183903361</t>
  </si>
  <si>
    <t>T2506121501423557247414</t>
  </si>
  <si>
    <t>911587641550</t>
  </si>
  <si>
    <t>02:51 pm</t>
  </si>
  <si>
    <t>T2506111451443401776481</t>
  </si>
  <si>
    <t>684268299844</t>
  </si>
  <si>
    <t>DAY</t>
  </si>
  <si>
    <t>MONTHH</t>
  </si>
  <si>
    <t>JUN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</si>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</sst>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4"/>
  <sheetViews>
    <sheetView tabSelected="1" workbookViewId="0">
      <selection activeCell="O15" sqref="O15"/>
    </sheetView>
  </sheetViews>
  <sheetFormatPr defaultRowHeight="14.4" x14ac:dyDescent="0.3"/>
  <cols>
    <col min="1" max="1" width="11.88671875" customWidth="1"/>
    <col min="12" max="12" width="13.109375" bestFit="1" customWidth="1"/>
  </cols>
  <sheetData>
    <row r="1" spans="1:13" x14ac:dyDescent="0.3">
      <c r="A1" s="3" t="s">
        <v>1954</v>
      </c>
      <c r="B1" t="s">
        <v>0</v>
      </c>
      <c r="C1" t="s">
        <v>1</v>
      </c>
      <c r="D1" t="s">
        <v>1952</v>
      </c>
      <c r="E1" t="s">
        <v>2</v>
      </c>
      <c r="F1" s="1" t="s">
        <v>3</v>
      </c>
      <c r="G1" t="s">
        <v>4</v>
      </c>
      <c r="H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1951</v>
      </c>
    </row>
    <row r="2" spans="1:13" x14ac:dyDescent="0.3">
      <c r="A2" s="4">
        <f>DATE(E3, D3, B3)</f>
        <v>46177</v>
      </c>
      <c r="B2">
        <v>4</v>
      </c>
      <c r="C2" t="s">
        <v>1953</v>
      </c>
      <c r="D2" cm="1">
        <f t="array" ref="D2">_xlfn.SWITCH(C2, "JAN", 1, "FEB", 2, "MAR", 3, "APR", 4,"MAY", 5, "JUN",6, "JUL", 7, "AUG", 8, "SEP", 9, "OCT", 10, "NOV", 11, "DEC", 12, "NO")</f>
        <v>6</v>
      </c>
      <c r="E2">
        <v>2026</v>
      </c>
      <c r="F2" t="s">
        <v>11</v>
      </c>
      <c r="G2">
        <f>HOUR(F2)</f>
        <v>12</v>
      </c>
      <c r="H2">
        <v>21</v>
      </c>
      <c r="I2" t="s">
        <v>12</v>
      </c>
      <c r="J2">
        <v>1000</v>
      </c>
      <c r="K2" t="s">
        <v>13</v>
      </c>
      <c r="L2" t="s">
        <v>14</v>
      </c>
      <c r="M2" t="e">
        <f>TEXT(#REF!, "DDDD")</f>
        <v>#REF!</v>
      </c>
    </row>
    <row r="3" spans="1:13" x14ac:dyDescent="0.3">
      <c r="A3" s="4">
        <f>DATE(E4, D4, B4)</f>
        <v>46177</v>
      </c>
      <c r="B3">
        <v>4</v>
      </c>
      <c r="C3" t="s">
        <v>10</v>
      </c>
      <c r="D3" cm="1">
        <f t="array" ref="D3">_xlfn.SWITCH(C3, "JAN", 1, "FEB", 2, "MAR", 3, "APR", 4,"MAY", 5, "JUN",6, "JUL", 7, "AUG", 8, "SEP", 9, "OCT", 10, "NOV", 11, "DEC", 12, "NO")</f>
        <v>6</v>
      </c>
      <c r="E3">
        <v>2026</v>
      </c>
      <c r="F3" t="s">
        <v>15</v>
      </c>
      <c r="G3">
        <f t="shared" ref="G3:G66" si="0">HOUR(F3)</f>
        <v>12</v>
      </c>
      <c r="H3">
        <v>15</v>
      </c>
      <c r="I3" t="s">
        <v>12</v>
      </c>
      <c r="J3">
        <v>1000</v>
      </c>
      <c r="K3" t="s">
        <v>16</v>
      </c>
      <c r="L3" t="s">
        <v>17</v>
      </c>
      <c r="M3" t="str">
        <f>TEXT(A2, "DDDD")</f>
        <v>Thursday</v>
      </c>
    </row>
    <row r="4" spans="1:13" x14ac:dyDescent="0.3">
      <c r="A4" s="4">
        <f t="shared" ref="A2:A65" si="1">DATE(E4, D4, B4)</f>
        <v>46177</v>
      </c>
      <c r="B4">
        <v>4</v>
      </c>
      <c r="C4" t="s">
        <v>10</v>
      </c>
      <c r="D4" cm="1">
        <f t="array" ref="D4">_xlfn.SWITCH(C4, "JAN", 1, "FEB", 2, "MAR", 3, "APR", 4,"MAY", 5, "JUN",6, "JUL", 7, "AUG", 8, "SEP", 9, "OCT", 10, "NOV", 11, "DEC", 12, "NO")</f>
        <v>6</v>
      </c>
      <c r="E4">
        <v>2026</v>
      </c>
      <c r="F4" t="s">
        <v>18</v>
      </c>
      <c r="G4">
        <f t="shared" si="0"/>
        <v>12</v>
      </c>
      <c r="H4">
        <v>11</v>
      </c>
      <c r="I4" t="s">
        <v>12</v>
      </c>
      <c r="J4">
        <v>1000</v>
      </c>
      <c r="K4" t="s">
        <v>19</v>
      </c>
      <c r="L4" t="s">
        <v>20</v>
      </c>
      <c r="M4" t="str">
        <f t="shared" ref="M2:M65" si="2">TEXT(A4, "DDDD")</f>
        <v>Thursday</v>
      </c>
    </row>
    <row r="5" spans="1:13" x14ac:dyDescent="0.3">
      <c r="A5" s="4">
        <f t="shared" si="1"/>
        <v>46177</v>
      </c>
      <c r="B5">
        <v>4</v>
      </c>
      <c r="C5" t="s">
        <v>10</v>
      </c>
      <c r="D5" cm="1">
        <f t="array" ref="D5">_xlfn.SWITCH(C5, "JAN", 1, "FEB", 2, "MAR", 3, "APR", 4,"MAY", 5, "JUN",6, "JUL", 7, "AUG", 8, "SEP", 9, "OCT", 10, "NOV", 11, "DEC", 12, "NO")</f>
        <v>6</v>
      </c>
      <c r="E5">
        <v>2026</v>
      </c>
      <c r="F5" t="s">
        <v>21</v>
      </c>
      <c r="G5">
        <f t="shared" si="0"/>
        <v>12</v>
      </c>
      <c r="H5">
        <v>9</v>
      </c>
      <c r="I5" t="s">
        <v>12</v>
      </c>
      <c r="J5">
        <v>1000</v>
      </c>
      <c r="K5" t="s">
        <v>22</v>
      </c>
      <c r="L5" t="s">
        <v>23</v>
      </c>
      <c r="M5" t="str">
        <f t="shared" si="2"/>
        <v>Thursday</v>
      </c>
    </row>
    <row r="6" spans="1:13" x14ac:dyDescent="0.3">
      <c r="A6" s="4">
        <f t="shared" si="1"/>
        <v>46177</v>
      </c>
      <c r="B6">
        <v>4</v>
      </c>
      <c r="C6" t="s">
        <v>10</v>
      </c>
      <c r="D6" cm="1">
        <f t="array" ref="D6">_xlfn.SWITCH(C6, "JAN", 1, "FEB", 2, "MAR", 3, "APR", 4,"MAY", 5, "JUN",6, "JUL", 7, "AUG", 8, "SEP", 9, "OCT", 10, "NOV", 11, "DEC", 12, "NO")</f>
        <v>6</v>
      </c>
      <c r="E6">
        <v>2026</v>
      </c>
      <c r="F6" t="s">
        <v>24</v>
      </c>
      <c r="G6">
        <f t="shared" si="0"/>
        <v>12</v>
      </c>
      <c r="H6">
        <v>8</v>
      </c>
      <c r="I6" t="s">
        <v>12</v>
      </c>
      <c r="J6">
        <v>1000</v>
      </c>
      <c r="K6" t="s">
        <v>25</v>
      </c>
      <c r="L6" t="s">
        <v>26</v>
      </c>
      <c r="M6" t="str">
        <f t="shared" si="2"/>
        <v>Thursday</v>
      </c>
    </row>
    <row r="7" spans="1:13" x14ac:dyDescent="0.3">
      <c r="A7" s="4">
        <f t="shared" si="1"/>
        <v>46177</v>
      </c>
      <c r="B7">
        <v>4</v>
      </c>
      <c r="C7" t="s">
        <v>10</v>
      </c>
      <c r="D7" cm="1">
        <f t="array" ref="D7">_xlfn.SWITCH(C7, "JAN", 1, "FEB", 2, "MAR", 3, "APR", 4,"MAY", 5, "JUN",6, "JUL", 7, "AUG", 8, "SEP", 9, "OCT", 10, "NOV", 11, "DEC", 12, "NO")</f>
        <v>6</v>
      </c>
      <c r="E7">
        <v>2026</v>
      </c>
      <c r="F7" t="s">
        <v>27</v>
      </c>
      <c r="G7">
        <f t="shared" si="0"/>
        <v>11</v>
      </c>
      <c r="H7">
        <v>54</v>
      </c>
      <c r="I7" t="s">
        <v>12</v>
      </c>
      <c r="J7">
        <v>2000</v>
      </c>
      <c r="K7" t="s">
        <v>28</v>
      </c>
      <c r="L7" t="s">
        <v>29</v>
      </c>
      <c r="M7" t="str">
        <f t="shared" si="2"/>
        <v>Thursday</v>
      </c>
    </row>
    <row r="8" spans="1:13" x14ac:dyDescent="0.3">
      <c r="A8" s="4">
        <f t="shared" si="1"/>
        <v>46177</v>
      </c>
      <c r="B8">
        <v>4</v>
      </c>
      <c r="C8" t="s">
        <v>10</v>
      </c>
      <c r="D8" cm="1">
        <f t="array" ref="D8">_xlfn.SWITCH(C8, "JAN", 1, "FEB", 2, "MAR", 3, "APR", 4,"MAY", 5, "JUN",6, "JUL", 7, "AUG", 8, "SEP", 9, "OCT", 10, "NOV", 11, "DEC", 12, "NO")</f>
        <v>6</v>
      </c>
      <c r="E8">
        <v>2026</v>
      </c>
      <c r="F8" t="s">
        <v>30</v>
      </c>
      <c r="G8">
        <f t="shared" si="0"/>
        <v>11</v>
      </c>
      <c r="H8">
        <v>52</v>
      </c>
      <c r="I8" t="s">
        <v>12</v>
      </c>
      <c r="J8">
        <v>1000</v>
      </c>
      <c r="K8" t="s">
        <v>31</v>
      </c>
      <c r="L8" t="s">
        <v>32</v>
      </c>
      <c r="M8" t="str">
        <f t="shared" si="2"/>
        <v>Thursday</v>
      </c>
    </row>
    <row r="9" spans="1:13" x14ac:dyDescent="0.3">
      <c r="A9" s="4">
        <f t="shared" si="1"/>
        <v>46177</v>
      </c>
      <c r="B9">
        <v>4</v>
      </c>
      <c r="C9" t="s">
        <v>10</v>
      </c>
      <c r="D9" cm="1">
        <f t="array" ref="D9">_xlfn.SWITCH(C9, "JAN", 1, "FEB", 2, "MAR", 3, "APR", 4,"MAY", 5, "JUN",6, "JUL", 7, "AUG", 8, "SEP", 9, "OCT", 10, "NOV", 11, "DEC", 12, "NO")</f>
        <v>6</v>
      </c>
      <c r="E9">
        <v>2026</v>
      </c>
      <c r="F9" t="s">
        <v>33</v>
      </c>
      <c r="G9">
        <f t="shared" si="0"/>
        <v>11</v>
      </c>
      <c r="H9">
        <v>34</v>
      </c>
      <c r="I9" t="s">
        <v>12</v>
      </c>
      <c r="J9">
        <v>1000</v>
      </c>
      <c r="K9" t="s">
        <v>34</v>
      </c>
      <c r="L9" t="s">
        <v>35</v>
      </c>
      <c r="M9" t="str">
        <f t="shared" si="2"/>
        <v>Thursday</v>
      </c>
    </row>
    <row r="10" spans="1:13" x14ac:dyDescent="0.3">
      <c r="A10" s="4">
        <f t="shared" si="1"/>
        <v>46177</v>
      </c>
      <c r="B10">
        <v>4</v>
      </c>
      <c r="C10" t="s">
        <v>10</v>
      </c>
      <c r="D10" cm="1">
        <f t="array" ref="D10">_xlfn.SWITCH(C10, "JAN", 1, "FEB", 2, "MAR", 3, "APR", 4,"MAY", 5, "JUN",6, "JUL", 7, "AUG", 8, "SEP", 9, "OCT", 10, "NOV", 11, "DEC", 12, "NO")</f>
        <v>6</v>
      </c>
      <c r="E10">
        <v>2026</v>
      </c>
      <c r="F10" t="s">
        <v>36</v>
      </c>
      <c r="G10">
        <f t="shared" si="0"/>
        <v>11</v>
      </c>
      <c r="H10">
        <v>13</v>
      </c>
      <c r="I10" t="s">
        <v>12</v>
      </c>
      <c r="J10">
        <v>1000</v>
      </c>
      <c r="K10" t="s">
        <v>37</v>
      </c>
      <c r="L10" t="s">
        <v>38</v>
      </c>
      <c r="M10" t="str">
        <f t="shared" si="2"/>
        <v>Thursday</v>
      </c>
    </row>
    <row r="11" spans="1:13" x14ac:dyDescent="0.3">
      <c r="A11" s="4">
        <f t="shared" si="1"/>
        <v>46177</v>
      </c>
      <c r="B11">
        <v>4</v>
      </c>
      <c r="C11" t="s">
        <v>10</v>
      </c>
      <c r="D11" cm="1">
        <f t="array" ref="D11">_xlfn.SWITCH(C11, "JAN", 1, "FEB", 2, "MAR", 3, "APR", 4,"MAY", 5, "JUN",6, "JUL", 7, "AUG", 8, "SEP", 9, "OCT", 10, "NOV", 11, "DEC", 12, "NO")</f>
        <v>6</v>
      </c>
      <c r="E11">
        <v>2026</v>
      </c>
      <c r="F11" t="s">
        <v>39</v>
      </c>
      <c r="G11">
        <f t="shared" si="0"/>
        <v>11</v>
      </c>
      <c r="H11">
        <v>5</v>
      </c>
      <c r="I11" t="s">
        <v>12</v>
      </c>
      <c r="J11">
        <v>1000</v>
      </c>
      <c r="K11" t="s">
        <v>40</v>
      </c>
      <c r="L11" t="s">
        <v>41</v>
      </c>
      <c r="M11" t="str">
        <f t="shared" si="2"/>
        <v>Thursday</v>
      </c>
    </row>
    <row r="12" spans="1:13" x14ac:dyDescent="0.3">
      <c r="A12" s="4">
        <f t="shared" si="1"/>
        <v>46177</v>
      </c>
      <c r="B12">
        <v>4</v>
      </c>
      <c r="C12" t="s">
        <v>10</v>
      </c>
      <c r="D12" cm="1">
        <f t="array" ref="D12">_xlfn.SWITCH(C12, "JAN", 1, "FEB", 2, "MAR", 3, "APR", 4,"MAY", 5, "JUN",6, "JUL", 7, "AUG", 8, "SEP", 9, "OCT", 10, "NOV", 11, "DEC", 12, "NO")</f>
        <v>6</v>
      </c>
      <c r="E12">
        <v>2026</v>
      </c>
      <c r="F12" t="s">
        <v>42</v>
      </c>
      <c r="G12">
        <f t="shared" si="0"/>
        <v>10</v>
      </c>
      <c r="H12">
        <v>56</v>
      </c>
      <c r="I12" t="s">
        <v>12</v>
      </c>
      <c r="J12">
        <v>1000</v>
      </c>
      <c r="K12" t="s">
        <v>43</v>
      </c>
      <c r="L12" t="s">
        <v>44</v>
      </c>
      <c r="M12" t="str">
        <f t="shared" si="2"/>
        <v>Thursday</v>
      </c>
    </row>
    <row r="13" spans="1:13" x14ac:dyDescent="0.3">
      <c r="A13" s="4">
        <f t="shared" si="1"/>
        <v>46177</v>
      </c>
      <c r="B13">
        <v>4</v>
      </c>
      <c r="C13" t="s">
        <v>10</v>
      </c>
      <c r="D13" cm="1">
        <f t="array" ref="D13">_xlfn.SWITCH(C13, "JAN", 1, "FEB", 2, "MAR", 3, "APR", 4,"MAY", 5, "JUN",6, "JUL", 7, "AUG", 8, "SEP", 9, "OCT", 10, "NOV", 11, "DEC", 12, "NO")</f>
        <v>6</v>
      </c>
      <c r="E13">
        <v>2026</v>
      </c>
      <c r="F13" t="s">
        <v>45</v>
      </c>
      <c r="G13">
        <f t="shared" si="0"/>
        <v>10</v>
      </c>
      <c r="H13">
        <v>50</v>
      </c>
      <c r="I13" t="s">
        <v>12</v>
      </c>
      <c r="J13">
        <v>1000</v>
      </c>
      <c r="K13" t="s">
        <v>46</v>
      </c>
      <c r="L13" t="s">
        <v>47</v>
      </c>
      <c r="M13" t="str">
        <f t="shared" si="2"/>
        <v>Thursday</v>
      </c>
    </row>
    <row r="14" spans="1:13" x14ac:dyDescent="0.3">
      <c r="A14" s="4">
        <f t="shared" si="1"/>
        <v>46177</v>
      </c>
      <c r="B14">
        <v>4</v>
      </c>
      <c r="C14" t="s">
        <v>10</v>
      </c>
      <c r="D14" cm="1">
        <f t="array" ref="D14">_xlfn.SWITCH(C14, "JAN", 1, "FEB", 2, "MAR", 3, "APR", 4,"MAY", 5, "JUN",6, "JUL", 7, "AUG", 8, "SEP", 9, "OCT", 10, "NOV", 11, "DEC", 12, "NO")</f>
        <v>6</v>
      </c>
      <c r="E14">
        <v>2026</v>
      </c>
      <c r="F14" t="s">
        <v>48</v>
      </c>
      <c r="G14">
        <f t="shared" si="0"/>
        <v>10</v>
      </c>
      <c r="H14">
        <v>43</v>
      </c>
      <c r="I14" t="s">
        <v>12</v>
      </c>
      <c r="J14">
        <v>1000</v>
      </c>
      <c r="K14" t="s">
        <v>49</v>
      </c>
      <c r="L14" t="s">
        <v>50</v>
      </c>
      <c r="M14" t="str">
        <f t="shared" si="2"/>
        <v>Thursday</v>
      </c>
    </row>
    <row r="15" spans="1:13" x14ac:dyDescent="0.3">
      <c r="A15" s="4">
        <f t="shared" si="1"/>
        <v>46177</v>
      </c>
      <c r="B15">
        <v>4</v>
      </c>
      <c r="C15" t="s">
        <v>10</v>
      </c>
      <c r="D15" cm="1">
        <f t="array" ref="D15">_xlfn.SWITCH(C15, "JAN", 1, "FEB", 2, "MAR", 3, "APR", 4,"MAY", 5, "JUN",6, "JUL", 7, "AUG", 8, "SEP", 9, "OCT", 10, "NOV", 11, "DEC", 12, "NO")</f>
        <v>6</v>
      </c>
      <c r="E15">
        <v>2026</v>
      </c>
      <c r="F15" t="s">
        <v>51</v>
      </c>
      <c r="G15">
        <f t="shared" si="0"/>
        <v>10</v>
      </c>
      <c r="H15">
        <v>39</v>
      </c>
      <c r="I15" t="s">
        <v>12</v>
      </c>
      <c r="J15">
        <v>1000</v>
      </c>
      <c r="K15" t="s">
        <v>52</v>
      </c>
      <c r="L15" t="s">
        <v>53</v>
      </c>
      <c r="M15" t="str">
        <f t="shared" si="2"/>
        <v>Thursday</v>
      </c>
    </row>
    <row r="16" spans="1:13" x14ac:dyDescent="0.3">
      <c r="A16" s="4">
        <f t="shared" si="1"/>
        <v>46177</v>
      </c>
      <c r="B16">
        <v>4</v>
      </c>
      <c r="C16" t="s">
        <v>10</v>
      </c>
      <c r="D16" cm="1">
        <f t="array" ref="D16">_xlfn.SWITCH(C16, "JAN", 1, "FEB", 2, "MAR", 3, "APR", 4,"MAY", 5, "JUN",6, "JUL", 7, "AUG", 8, "SEP", 9, "OCT", 10, "NOV", 11, "DEC", 12, "NO")</f>
        <v>6</v>
      </c>
      <c r="E16">
        <v>2026</v>
      </c>
      <c r="F16" t="s">
        <v>54</v>
      </c>
      <c r="G16">
        <f t="shared" si="0"/>
        <v>10</v>
      </c>
      <c r="H16">
        <v>32</v>
      </c>
      <c r="I16" t="s">
        <v>12</v>
      </c>
      <c r="J16">
        <v>1000</v>
      </c>
      <c r="K16" t="s">
        <v>55</v>
      </c>
      <c r="L16" t="s">
        <v>56</v>
      </c>
      <c r="M16" t="str">
        <f t="shared" si="2"/>
        <v>Thursday</v>
      </c>
    </row>
    <row r="17" spans="1:13" x14ac:dyDescent="0.3">
      <c r="A17" s="4">
        <f t="shared" si="1"/>
        <v>46177</v>
      </c>
      <c r="B17">
        <v>4</v>
      </c>
      <c r="C17" t="s">
        <v>10</v>
      </c>
      <c r="D17" cm="1">
        <f t="array" ref="D17">_xlfn.SWITCH(C17, "JAN", 1, "FEB", 2, "MAR", 3, "APR", 4,"MAY", 5, "JUN",6, "JUL", 7, "AUG", 8, "SEP", 9, "OCT", 10, "NOV", 11, "DEC", 12, "NO")</f>
        <v>6</v>
      </c>
      <c r="E17">
        <v>2026</v>
      </c>
      <c r="F17" t="s">
        <v>57</v>
      </c>
      <c r="G17">
        <f t="shared" si="0"/>
        <v>10</v>
      </c>
      <c r="H17">
        <v>16</v>
      </c>
      <c r="I17" t="s">
        <v>12</v>
      </c>
      <c r="J17">
        <v>970</v>
      </c>
      <c r="K17" t="s">
        <v>58</v>
      </c>
      <c r="L17" t="s">
        <v>59</v>
      </c>
      <c r="M17" t="str">
        <f t="shared" si="2"/>
        <v>Thursday</v>
      </c>
    </row>
    <row r="18" spans="1:13" x14ac:dyDescent="0.3">
      <c r="A18" s="4">
        <f t="shared" si="1"/>
        <v>46177</v>
      </c>
      <c r="B18">
        <v>4</v>
      </c>
      <c r="C18" t="s">
        <v>10</v>
      </c>
      <c r="D18" cm="1">
        <f t="array" ref="D18">_xlfn.SWITCH(C18, "JAN", 1, "FEB", 2, "MAR", 3, "APR", 4,"MAY", 5, "JUN",6, "JUL", 7, "AUG", 8, "SEP", 9, "OCT", 10, "NOV", 11, "DEC", 12, "NO")</f>
        <v>6</v>
      </c>
      <c r="E18">
        <v>2026</v>
      </c>
      <c r="F18" t="s">
        <v>60</v>
      </c>
      <c r="G18">
        <f t="shared" si="0"/>
        <v>10</v>
      </c>
      <c r="H18">
        <v>5</v>
      </c>
      <c r="I18" t="s">
        <v>12</v>
      </c>
      <c r="J18">
        <v>1000</v>
      </c>
      <c r="K18" t="s">
        <v>61</v>
      </c>
      <c r="L18" t="s">
        <v>62</v>
      </c>
      <c r="M18" t="str">
        <f t="shared" si="2"/>
        <v>Thursday</v>
      </c>
    </row>
    <row r="19" spans="1:13" x14ac:dyDescent="0.3">
      <c r="A19" s="4">
        <f t="shared" si="1"/>
        <v>46177</v>
      </c>
      <c r="B19">
        <v>4</v>
      </c>
      <c r="C19" t="s">
        <v>10</v>
      </c>
      <c r="D19" cm="1">
        <f t="array" ref="D19">_xlfn.SWITCH(C19, "JAN", 1, "FEB", 2, "MAR", 3, "APR", 4,"MAY", 5, "JUN",6, "JUL", 7, "AUG", 8, "SEP", 9, "OCT", 10, "NOV", 11, "DEC", 12, "NO")</f>
        <v>6</v>
      </c>
      <c r="E19">
        <v>2026</v>
      </c>
      <c r="F19" t="s">
        <v>63</v>
      </c>
      <c r="G19">
        <f t="shared" si="0"/>
        <v>9</v>
      </c>
      <c r="H19">
        <v>59</v>
      </c>
      <c r="I19" t="s">
        <v>12</v>
      </c>
      <c r="J19">
        <v>1000</v>
      </c>
      <c r="K19" t="s">
        <v>64</v>
      </c>
      <c r="L19" t="s">
        <v>65</v>
      </c>
      <c r="M19" t="str">
        <f t="shared" si="2"/>
        <v>Thursday</v>
      </c>
    </row>
    <row r="20" spans="1:13" x14ac:dyDescent="0.3">
      <c r="A20" s="4">
        <f t="shared" si="1"/>
        <v>46177</v>
      </c>
      <c r="B20">
        <v>4</v>
      </c>
      <c r="C20" t="s">
        <v>10</v>
      </c>
      <c r="D20" cm="1">
        <f t="array" ref="D20">_xlfn.SWITCH(C20, "JAN", 1, "FEB", 2, "MAR", 3, "APR", 4,"MAY", 5, "JUN",6, "JUL", 7, "AUG", 8, "SEP", 9, "OCT", 10, "NOV", 11, "DEC", 12, "NO")</f>
        <v>6</v>
      </c>
      <c r="E20">
        <v>2026</v>
      </c>
      <c r="F20" t="s">
        <v>66</v>
      </c>
      <c r="G20">
        <f t="shared" si="0"/>
        <v>9</v>
      </c>
      <c r="H20">
        <v>56</v>
      </c>
      <c r="I20" t="s">
        <v>12</v>
      </c>
      <c r="J20">
        <v>1000</v>
      </c>
      <c r="K20" t="s">
        <v>67</v>
      </c>
      <c r="L20" t="s">
        <v>68</v>
      </c>
      <c r="M20" t="str">
        <f t="shared" si="2"/>
        <v>Thursday</v>
      </c>
    </row>
    <row r="21" spans="1:13" x14ac:dyDescent="0.3">
      <c r="A21" s="4">
        <f t="shared" si="1"/>
        <v>46177</v>
      </c>
      <c r="B21">
        <v>4</v>
      </c>
      <c r="C21" t="s">
        <v>10</v>
      </c>
      <c r="D21" cm="1">
        <f t="array" ref="D21">_xlfn.SWITCH(C21, "JAN", 1, "FEB", 2, "MAR", 3, "APR", 4,"MAY", 5, "JUN",6, "JUL", 7, "AUG", 8, "SEP", 9, "OCT", 10, "NOV", 11, "DEC", 12, "NO")</f>
        <v>6</v>
      </c>
      <c r="E21">
        <v>2026</v>
      </c>
      <c r="F21" t="s">
        <v>69</v>
      </c>
      <c r="G21">
        <f t="shared" si="0"/>
        <v>9</v>
      </c>
      <c r="H21">
        <v>27</v>
      </c>
      <c r="I21" t="s">
        <v>12</v>
      </c>
      <c r="J21">
        <v>1000</v>
      </c>
      <c r="K21" t="s">
        <v>70</v>
      </c>
      <c r="L21" t="s">
        <v>71</v>
      </c>
      <c r="M21" t="str">
        <f t="shared" si="2"/>
        <v>Thursday</v>
      </c>
    </row>
    <row r="22" spans="1:13" x14ac:dyDescent="0.3">
      <c r="A22" s="4">
        <f t="shared" si="1"/>
        <v>46177</v>
      </c>
      <c r="B22">
        <v>4</v>
      </c>
      <c r="C22" t="s">
        <v>10</v>
      </c>
      <c r="D22" cm="1">
        <f t="array" ref="D22">_xlfn.SWITCH(C22, "JAN", 1, "FEB", 2, "MAR", 3, "APR", 4,"MAY", 5, "JUN",6, "JUL", 7, "AUG", 8, "SEP", 9, "OCT", 10, "NOV", 11, "DEC", 12, "NO")</f>
        <v>6</v>
      </c>
      <c r="E22">
        <v>2026</v>
      </c>
      <c r="F22" t="s">
        <v>72</v>
      </c>
      <c r="G22">
        <f t="shared" si="0"/>
        <v>9</v>
      </c>
      <c r="H22">
        <v>22</v>
      </c>
      <c r="I22" t="s">
        <v>12</v>
      </c>
      <c r="J22">
        <v>1000</v>
      </c>
      <c r="K22" t="s">
        <v>73</v>
      </c>
      <c r="L22" t="s">
        <v>74</v>
      </c>
      <c r="M22" t="str">
        <f t="shared" si="2"/>
        <v>Thursday</v>
      </c>
    </row>
    <row r="23" spans="1:13" x14ac:dyDescent="0.3">
      <c r="A23" s="4">
        <f t="shared" si="1"/>
        <v>46177</v>
      </c>
      <c r="B23">
        <v>4</v>
      </c>
      <c r="C23" t="s">
        <v>10</v>
      </c>
      <c r="D23" cm="1">
        <f t="array" ref="D23">_xlfn.SWITCH(C23, "JAN", 1, "FEB", 2, "MAR", 3, "APR", 4,"MAY", 5, "JUN",6, "JUL", 7, "AUG", 8, "SEP", 9, "OCT", 10, "NOV", 11, "DEC", 12, "NO")</f>
        <v>6</v>
      </c>
      <c r="E23">
        <v>2026</v>
      </c>
      <c r="F23" t="s">
        <v>75</v>
      </c>
      <c r="G23">
        <f t="shared" si="0"/>
        <v>9</v>
      </c>
      <c r="H23">
        <v>17</v>
      </c>
      <c r="I23" t="s">
        <v>12</v>
      </c>
      <c r="J23">
        <v>990</v>
      </c>
      <c r="K23" t="s">
        <v>76</v>
      </c>
      <c r="L23" t="s">
        <v>77</v>
      </c>
      <c r="M23" t="str">
        <f t="shared" si="2"/>
        <v>Thursday</v>
      </c>
    </row>
    <row r="24" spans="1:13" x14ac:dyDescent="0.3">
      <c r="A24" s="4">
        <f t="shared" si="1"/>
        <v>46177</v>
      </c>
      <c r="B24">
        <v>4</v>
      </c>
      <c r="C24" t="s">
        <v>10</v>
      </c>
      <c r="D24" cm="1">
        <f t="array" ref="D24">_xlfn.SWITCH(C24, "JAN", 1, "FEB", 2, "MAR", 3, "APR", 4,"MAY", 5, "JUN",6, "JUL", 7, "AUG", 8, "SEP", 9, "OCT", 10, "NOV", 11, "DEC", 12, "NO")</f>
        <v>6</v>
      </c>
      <c r="E24">
        <v>2026</v>
      </c>
      <c r="F24" t="s">
        <v>78</v>
      </c>
      <c r="G24">
        <f t="shared" si="0"/>
        <v>8</v>
      </c>
      <c r="H24">
        <v>56</v>
      </c>
      <c r="I24" t="s">
        <v>12</v>
      </c>
      <c r="J24">
        <v>1000</v>
      </c>
      <c r="K24" t="s">
        <v>79</v>
      </c>
      <c r="L24" t="s">
        <v>80</v>
      </c>
      <c r="M24" t="str">
        <f t="shared" si="2"/>
        <v>Thursday</v>
      </c>
    </row>
    <row r="25" spans="1:13" x14ac:dyDescent="0.3">
      <c r="A25" s="4">
        <f t="shared" si="1"/>
        <v>46177</v>
      </c>
      <c r="B25">
        <v>4</v>
      </c>
      <c r="C25" t="s">
        <v>10</v>
      </c>
      <c r="D25" cm="1">
        <f t="array" ref="D25">_xlfn.SWITCH(C25, "JAN", 1, "FEB", 2, "MAR", 3, "APR", 4,"MAY", 5, "JUN",6, "JUL", 7, "AUG", 8, "SEP", 9, "OCT", 10, "NOV", 11, "DEC", 12, "NO")</f>
        <v>6</v>
      </c>
      <c r="E25">
        <v>2026</v>
      </c>
      <c r="F25" t="s">
        <v>78</v>
      </c>
      <c r="G25">
        <f t="shared" si="0"/>
        <v>8</v>
      </c>
      <c r="H25">
        <v>56</v>
      </c>
      <c r="I25" t="s">
        <v>12</v>
      </c>
      <c r="J25">
        <v>1000</v>
      </c>
      <c r="K25" t="s">
        <v>81</v>
      </c>
      <c r="L25" t="s">
        <v>82</v>
      </c>
      <c r="M25" t="str">
        <f t="shared" si="2"/>
        <v>Thursday</v>
      </c>
    </row>
    <row r="26" spans="1:13" x14ac:dyDescent="0.3">
      <c r="A26" s="4">
        <f t="shared" si="1"/>
        <v>46177</v>
      </c>
      <c r="B26">
        <v>4</v>
      </c>
      <c r="C26" t="s">
        <v>10</v>
      </c>
      <c r="D26" cm="1">
        <f t="array" ref="D26">_xlfn.SWITCH(C26, "JAN", 1, "FEB", 2, "MAR", 3, "APR", 4,"MAY", 5, "JUN",6, "JUL", 7, "AUG", 8, "SEP", 9, "OCT", 10, "NOV", 11, "DEC", 12, "NO")</f>
        <v>6</v>
      </c>
      <c r="E26">
        <v>2026</v>
      </c>
      <c r="F26" t="s">
        <v>83</v>
      </c>
      <c r="G26">
        <f t="shared" si="0"/>
        <v>7</v>
      </c>
      <c r="H26">
        <v>29</v>
      </c>
      <c r="I26" t="s">
        <v>84</v>
      </c>
      <c r="J26">
        <v>50</v>
      </c>
      <c r="K26" t="s">
        <v>85</v>
      </c>
      <c r="L26" t="s">
        <v>86</v>
      </c>
      <c r="M26" t="str">
        <f t="shared" si="2"/>
        <v>Thursday</v>
      </c>
    </row>
    <row r="27" spans="1:13" x14ac:dyDescent="0.3">
      <c r="A27" s="4">
        <f t="shared" si="1"/>
        <v>46177</v>
      </c>
      <c r="B27">
        <v>4</v>
      </c>
      <c r="C27" t="s">
        <v>10</v>
      </c>
      <c r="D27" cm="1">
        <f t="array" ref="D27">_xlfn.SWITCH(C27, "JAN", 1, "FEB", 2, "MAR", 3, "APR", 4,"MAY", 5, "JUN",6, "JUL", 7, "AUG", 8, "SEP", 9, "OCT", 10, "NOV", 11, "DEC", 12, "NO")</f>
        <v>6</v>
      </c>
      <c r="E27">
        <v>2026</v>
      </c>
      <c r="F27" t="s">
        <v>87</v>
      </c>
      <c r="G27">
        <f t="shared" si="0"/>
        <v>6</v>
      </c>
      <c r="H27">
        <v>46</v>
      </c>
      <c r="I27" t="s">
        <v>84</v>
      </c>
      <c r="J27">
        <v>1</v>
      </c>
      <c r="K27" t="s">
        <v>88</v>
      </c>
      <c r="L27" t="s">
        <v>89</v>
      </c>
      <c r="M27" t="str">
        <f t="shared" si="2"/>
        <v>Thursday</v>
      </c>
    </row>
    <row r="28" spans="1:13" x14ac:dyDescent="0.3">
      <c r="A28" s="4">
        <f t="shared" si="1"/>
        <v>46176</v>
      </c>
      <c r="B28">
        <v>3</v>
      </c>
      <c r="C28" t="s">
        <v>10</v>
      </c>
      <c r="D28" cm="1">
        <f t="array" ref="D28">_xlfn.SWITCH(C28, "JAN", 1, "FEB", 2, "MAR", 3, "APR", 4,"MAY", 5, "JUN",6, "JUL", 7, "AUG", 8, "SEP", 9, "OCT", 10, "NOV", 11, "DEC", 12, "NO")</f>
        <v>6</v>
      </c>
      <c r="E28">
        <v>2026</v>
      </c>
      <c r="F28" t="s">
        <v>90</v>
      </c>
      <c r="G28">
        <f t="shared" si="0"/>
        <v>18</v>
      </c>
      <c r="H28">
        <v>38</v>
      </c>
      <c r="I28" t="s">
        <v>84</v>
      </c>
      <c r="J28">
        <v>23160</v>
      </c>
      <c r="K28" t="s">
        <v>91</v>
      </c>
      <c r="L28" t="s">
        <v>92</v>
      </c>
      <c r="M28" t="str">
        <f t="shared" si="2"/>
        <v>Wednesday</v>
      </c>
    </row>
    <row r="29" spans="1:13" x14ac:dyDescent="0.3">
      <c r="A29" s="4">
        <f t="shared" si="1"/>
        <v>46176</v>
      </c>
      <c r="B29">
        <v>3</v>
      </c>
      <c r="C29" t="s">
        <v>10</v>
      </c>
      <c r="D29" cm="1">
        <f t="array" ref="D29">_xlfn.SWITCH(C29, "JAN", 1, "FEB", 2, "MAR", 3, "APR", 4,"MAY", 5, "JUN",6, "JUL", 7, "AUG", 8, "SEP", 9, "OCT", 10, "NOV", 11, "DEC", 12, "NO")</f>
        <v>6</v>
      </c>
      <c r="E29">
        <v>2026</v>
      </c>
      <c r="F29" t="s">
        <v>93</v>
      </c>
      <c r="G29">
        <f t="shared" si="0"/>
        <v>18</v>
      </c>
      <c r="H29">
        <v>36</v>
      </c>
      <c r="I29" t="s">
        <v>84</v>
      </c>
      <c r="J29">
        <v>2000</v>
      </c>
      <c r="K29" t="s">
        <v>94</v>
      </c>
      <c r="L29" t="s">
        <v>95</v>
      </c>
      <c r="M29" t="str">
        <f t="shared" si="2"/>
        <v>Wednesday</v>
      </c>
    </row>
    <row r="30" spans="1:13" x14ac:dyDescent="0.3">
      <c r="A30" s="4">
        <f t="shared" si="1"/>
        <v>46176</v>
      </c>
      <c r="B30">
        <v>3</v>
      </c>
      <c r="C30" t="s">
        <v>10</v>
      </c>
      <c r="D30" cm="1">
        <f t="array" ref="D30">_xlfn.SWITCH(C30, "JAN", 1, "FEB", 2, "MAR", 3, "APR", 4,"MAY", 5, "JUN",6, "JUL", 7, "AUG", 8, "SEP", 9, "OCT", 10, "NOV", 11, "DEC", 12, "NO")</f>
        <v>6</v>
      </c>
      <c r="E30">
        <v>2026</v>
      </c>
      <c r="F30" t="s">
        <v>96</v>
      </c>
      <c r="G30">
        <f t="shared" si="0"/>
        <v>18</v>
      </c>
      <c r="H30">
        <v>2</v>
      </c>
      <c r="I30" t="s">
        <v>12</v>
      </c>
      <c r="J30">
        <v>30</v>
      </c>
      <c r="K30" t="s">
        <v>97</v>
      </c>
      <c r="L30" t="s">
        <v>98</v>
      </c>
      <c r="M30" t="str">
        <f t="shared" si="2"/>
        <v>Wednesday</v>
      </c>
    </row>
    <row r="31" spans="1:13" x14ac:dyDescent="0.3">
      <c r="A31" s="4">
        <f t="shared" si="1"/>
        <v>46176</v>
      </c>
      <c r="B31">
        <v>3</v>
      </c>
      <c r="C31" t="s">
        <v>10</v>
      </c>
      <c r="D31" cm="1">
        <f t="array" ref="D31">_xlfn.SWITCH(C31, "JAN", 1, "FEB", 2, "MAR", 3, "APR", 4,"MAY", 5, "JUN",6, "JUL", 7, "AUG", 8, "SEP", 9, "OCT", 10, "NOV", 11, "DEC", 12, "NO")</f>
        <v>6</v>
      </c>
      <c r="E31">
        <v>2026</v>
      </c>
      <c r="F31" t="s">
        <v>99</v>
      </c>
      <c r="G31">
        <f t="shared" si="0"/>
        <v>17</v>
      </c>
      <c r="H31">
        <v>55</v>
      </c>
      <c r="I31" t="s">
        <v>12</v>
      </c>
      <c r="J31">
        <v>1000</v>
      </c>
      <c r="K31" t="s">
        <v>100</v>
      </c>
      <c r="L31" t="s">
        <v>101</v>
      </c>
      <c r="M31" t="str">
        <f t="shared" si="2"/>
        <v>Wednesday</v>
      </c>
    </row>
    <row r="32" spans="1:13" x14ac:dyDescent="0.3">
      <c r="A32" s="4">
        <f t="shared" si="1"/>
        <v>46176</v>
      </c>
      <c r="B32">
        <v>3</v>
      </c>
      <c r="C32" t="s">
        <v>10</v>
      </c>
      <c r="D32" cm="1">
        <f t="array" ref="D32">_xlfn.SWITCH(C32, "JAN", 1, "FEB", 2, "MAR", 3, "APR", 4,"MAY", 5, "JUN",6, "JUL", 7, "AUG", 8, "SEP", 9, "OCT", 10, "NOV", 11, "DEC", 12, "NO")</f>
        <v>6</v>
      </c>
      <c r="E32">
        <v>2026</v>
      </c>
      <c r="F32" t="s">
        <v>102</v>
      </c>
      <c r="G32">
        <f t="shared" si="0"/>
        <v>17</v>
      </c>
      <c r="H32">
        <v>49</v>
      </c>
      <c r="I32" t="s">
        <v>12</v>
      </c>
      <c r="J32">
        <v>20</v>
      </c>
      <c r="K32" t="s">
        <v>103</v>
      </c>
      <c r="L32" t="s">
        <v>104</v>
      </c>
      <c r="M32" t="str">
        <f t="shared" si="2"/>
        <v>Wednesday</v>
      </c>
    </row>
    <row r="33" spans="1:13" x14ac:dyDescent="0.3">
      <c r="A33" s="4">
        <f t="shared" si="1"/>
        <v>46176</v>
      </c>
      <c r="B33">
        <v>3</v>
      </c>
      <c r="C33" t="s">
        <v>10</v>
      </c>
      <c r="D33" cm="1">
        <f t="array" ref="D33">_xlfn.SWITCH(C33, "JAN", 1, "FEB", 2, "MAR", 3, "APR", 4,"MAY", 5, "JUN",6, "JUL", 7, "AUG", 8, "SEP", 9, "OCT", 10, "NOV", 11, "DEC", 12, "NO")</f>
        <v>6</v>
      </c>
      <c r="E33">
        <v>2026</v>
      </c>
      <c r="F33" t="s">
        <v>105</v>
      </c>
      <c r="G33">
        <f t="shared" si="0"/>
        <v>17</v>
      </c>
      <c r="H33">
        <v>34</v>
      </c>
      <c r="I33" t="s">
        <v>12</v>
      </c>
      <c r="J33">
        <v>1000</v>
      </c>
      <c r="K33" t="s">
        <v>106</v>
      </c>
      <c r="L33" t="s">
        <v>107</v>
      </c>
      <c r="M33" t="str">
        <f t="shared" si="2"/>
        <v>Wednesday</v>
      </c>
    </row>
    <row r="34" spans="1:13" x14ac:dyDescent="0.3">
      <c r="A34" s="4">
        <f t="shared" si="1"/>
        <v>46176</v>
      </c>
      <c r="B34">
        <v>3</v>
      </c>
      <c r="C34" t="s">
        <v>10</v>
      </c>
      <c r="D34" cm="1">
        <f t="array" ref="D34">_xlfn.SWITCH(C34, "JAN", 1, "FEB", 2, "MAR", 3, "APR", 4,"MAY", 5, "JUN",6, "JUL", 7, "AUG", 8, "SEP", 9, "OCT", 10, "NOV", 11, "DEC", 12, "NO")</f>
        <v>6</v>
      </c>
      <c r="E34">
        <v>2026</v>
      </c>
      <c r="F34" t="s">
        <v>108</v>
      </c>
      <c r="G34">
        <f t="shared" si="0"/>
        <v>17</v>
      </c>
      <c r="H34">
        <v>21</v>
      </c>
      <c r="I34" t="s">
        <v>12</v>
      </c>
      <c r="J34">
        <v>1000</v>
      </c>
      <c r="K34" t="s">
        <v>109</v>
      </c>
      <c r="L34" t="s">
        <v>110</v>
      </c>
      <c r="M34" t="str">
        <f t="shared" si="2"/>
        <v>Wednesday</v>
      </c>
    </row>
    <row r="35" spans="1:13" x14ac:dyDescent="0.3">
      <c r="A35" s="4">
        <f t="shared" si="1"/>
        <v>46176</v>
      </c>
      <c r="B35">
        <v>3</v>
      </c>
      <c r="C35" t="s">
        <v>10</v>
      </c>
      <c r="D35" cm="1">
        <f t="array" ref="D35">_xlfn.SWITCH(C35, "JAN", 1, "FEB", 2, "MAR", 3, "APR", 4,"MAY", 5, "JUN",6, "JUL", 7, "AUG", 8, "SEP", 9, "OCT", 10, "NOV", 11, "DEC", 12, "NO")</f>
        <v>6</v>
      </c>
      <c r="E35">
        <v>2026</v>
      </c>
      <c r="F35" t="s">
        <v>111</v>
      </c>
      <c r="G35">
        <f t="shared" si="0"/>
        <v>16</v>
      </c>
      <c r="H35">
        <v>50</v>
      </c>
      <c r="I35" t="s">
        <v>12</v>
      </c>
      <c r="J35">
        <v>2200</v>
      </c>
      <c r="K35" t="s">
        <v>112</v>
      </c>
      <c r="L35" t="s">
        <v>113</v>
      </c>
      <c r="M35" t="str">
        <f t="shared" si="2"/>
        <v>Wednesday</v>
      </c>
    </row>
    <row r="36" spans="1:13" x14ac:dyDescent="0.3">
      <c r="A36" s="4">
        <f t="shared" si="1"/>
        <v>46176</v>
      </c>
      <c r="B36">
        <v>3</v>
      </c>
      <c r="C36" t="s">
        <v>10</v>
      </c>
      <c r="D36" cm="1">
        <f t="array" ref="D36">_xlfn.SWITCH(C36, "JAN", 1, "FEB", 2, "MAR", 3, "APR", 4,"MAY", 5, "JUN",6, "JUL", 7, "AUG", 8, "SEP", 9, "OCT", 10, "NOV", 11, "DEC", 12, "NO")</f>
        <v>6</v>
      </c>
      <c r="E36">
        <v>2026</v>
      </c>
      <c r="F36" t="s">
        <v>114</v>
      </c>
      <c r="G36">
        <f t="shared" si="0"/>
        <v>16</v>
      </c>
      <c r="H36">
        <v>34</v>
      </c>
      <c r="I36" t="s">
        <v>12</v>
      </c>
      <c r="J36">
        <v>1000</v>
      </c>
      <c r="K36" t="s">
        <v>115</v>
      </c>
      <c r="L36" t="s">
        <v>116</v>
      </c>
      <c r="M36" t="str">
        <f t="shared" si="2"/>
        <v>Wednesday</v>
      </c>
    </row>
    <row r="37" spans="1:13" x14ac:dyDescent="0.3">
      <c r="A37" s="4">
        <f t="shared" si="1"/>
        <v>46176</v>
      </c>
      <c r="B37">
        <v>3</v>
      </c>
      <c r="C37" t="s">
        <v>10</v>
      </c>
      <c r="D37" cm="1">
        <f t="array" ref="D37">_xlfn.SWITCH(C37, "JAN", 1, "FEB", 2, "MAR", 3, "APR", 4,"MAY", 5, "JUN",6, "JUL", 7, "AUG", 8, "SEP", 9, "OCT", 10, "NOV", 11, "DEC", 12, "NO")</f>
        <v>6</v>
      </c>
      <c r="E37">
        <v>2026</v>
      </c>
      <c r="F37" t="s">
        <v>117</v>
      </c>
      <c r="G37">
        <f t="shared" si="0"/>
        <v>16</v>
      </c>
      <c r="H37">
        <v>31</v>
      </c>
      <c r="I37" t="s">
        <v>12</v>
      </c>
      <c r="J37">
        <v>1000</v>
      </c>
      <c r="K37" t="s">
        <v>118</v>
      </c>
      <c r="L37" t="s">
        <v>119</v>
      </c>
      <c r="M37" t="str">
        <f t="shared" si="2"/>
        <v>Wednesday</v>
      </c>
    </row>
    <row r="38" spans="1:13" x14ac:dyDescent="0.3">
      <c r="A38" s="4">
        <f t="shared" si="1"/>
        <v>46176</v>
      </c>
      <c r="B38">
        <v>3</v>
      </c>
      <c r="C38" t="s">
        <v>10</v>
      </c>
      <c r="D38" cm="1">
        <f t="array" ref="D38">_xlfn.SWITCH(C38, "JAN", 1, "FEB", 2, "MAR", 3, "APR", 4,"MAY", 5, "JUN",6, "JUL", 7, "AUG", 8, "SEP", 9, "OCT", 10, "NOV", 11, "DEC", 12, "NO")</f>
        <v>6</v>
      </c>
      <c r="E38">
        <v>2026</v>
      </c>
      <c r="F38" t="s">
        <v>120</v>
      </c>
      <c r="G38">
        <f t="shared" si="0"/>
        <v>16</v>
      </c>
      <c r="H38">
        <v>21</v>
      </c>
      <c r="I38" t="s">
        <v>12</v>
      </c>
      <c r="J38">
        <v>1000</v>
      </c>
      <c r="K38" t="s">
        <v>121</v>
      </c>
      <c r="L38" t="s">
        <v>122</v>
      </c>
      <c r="M38" t="str">
        <f t="shared" si="2"/>
        <v>Wednesday</v>
      </c>
    </row>
    <row r="39" spans="1:13" x14ac:dyDescent="0.3">
      <c r="A39" s="4">
        <f t="shared" si="1"/>
        <v>46176</v>
      </c>
      <c r="B39">
        <v>3</v>
      </c>
      <c r="C39" t="s">
        <v>10</v>
      </c>
      <c r="D39" cm="1">
        <f t="array" ref="D39">_xlfn.SWITCH(C39, "JAN", 1, "FEB", 2, "MAR", 3, "APR", 4,"MAY", 5, "JUN",6, "JUL", 7, "AUG", 8, "SEP", 9, "OCT", 10, "NOV", 11, "DEC", 12, "NO")</f>
        <v>6</v>
      </c>
      <c r="E39">
        <v>2026</v>
      </c>
      <c r="F39" t="s">
        <v>123</v>
      </c>
      <c r="G39">
        <f t="shared" si="0"/>
        <v>16</v>
      </c>
      <c r="H39">
        <v>16</v>
      </c>
      <c r="I39" t="s">
        <v>12</v>
      </c>
      <c r="J39">
        <v>50</v>
      </c>
      <c r="K39" t="s">
        <v>124</v>
      </c>
      <c r="L39" t="s">
        <v>125</v>
      </c>
      <c r="M39" t="str">
        <f t="shared" si="2"/>
        <v>Wednesday</v>
      </c>
    </row>
    <row r="40" spans="1:13" x14ac:dyDescent="0.3">
      <c r="A40" s="4">
        <f t="shared" si="1"/>
        <v>46176</v>
      </c>
      <c r="B40">
        <v>3</v>
      </c>
      <c r="C40" t="s">
        <v>10</v>
      </c>
      <c r="D40" cm="1">
        <f t="array" ref="D40">_xlfn.SWITCH(C40, "JAN", 1, "FEB", 2, "MAR", 3, "APR", 4,"MAY", 5, "JUN",6, "JUL", 7, "AUG", 8, "SEP", 9, "OCT", 10, "NOV", 11, "DEC", 12, "NO")</f>
        <v>6</v>
      </c>
      <c r="E40">
        <v>2026</v>
      </c>
      <c r="F40" t="s">
        <v>126</v>
      </c>
      <c r="G40">
        <f t="shared" si="0"/>
        <v>15</v>
      </c>
      <c r="H40">
        <v>59</v>
      </c>
      <c r="I40" t="s">
        <v>12</v>
      </c>
      <c r="J40">
        <v>30</v>
      </c>
      <c r="K40" t="s">
        <v>127</v>
      </c>
      <c r="L40" t="s">
        <v>128</v>
      </c>
      <c r="M40" t="str">
        <f t="shared" si="2"/>
        <v>Wednesday</v>
      </c>
    </row>
    <row r="41" spans="1:13" x14ac:dyDescent="0.3">
      <c r="A41" s="4">
        <f t="shared" si="1"/>
        <v>46176</v>
      </c>
      <c r="B41">
        <v>3</v>
      </c>
      <c r="C41" t="s">
        <v>10</v>
      </c>
      <c r="D41" cm="1">
        <f t="array" ref="D41">_xlfn.SWITCH(C41, "JAN", 1, "FEB", 2, "MAR", 3, "APR", 4,"MAY", 5, "JUN",6, "JUL", 7, "AUG", 8, "SEP", 9, "OCT", 10, "NOV", 11, "DEC", 12, "NO")</f>
        <v>6</v>
      </c>
      <c r="E41">
        <v>2026</v>
      </c>
      <c r="F41" t="s">
        <v>129</v>
      </c>
      <c r="G41">
        <f t="shared" si="0"/>
        <v>15</v>
      </c>
      <c r="H41">
        <v>54</v>
      </c>
      <c r="I41" t="s">
        <v>12</v>
      </c>
      <c r="J41">
        <v>1000</v>
      </c>
      <c r="K41" t="s">
        <v>130</v>
      </c>
      <c r="L41" t="s">
        <v>131</v>
      </c>
      <c r="M41" t="str">
        <f t="shared" si="2"/>
        <v>Wednesday</v>
      </c>
    </row>
    <row r="42" spans="1:13" x14ac:dyDescent="0.3">
      <c r="A42" s="4">
        <f t="shared" si="1"/>
        <v>46176</v>
      </c>
      <c r="B42">
        <v>3</v>
      </c>
      <c r="C42" t="s">
        <v>10</v>
      </c>
      <c r="D42" cm="1">
        <f t="array" ref="D42">_xlfn.SWITCH(C42, "JAN", 1, "FEB", 2, "MAR", 3, "APR", 4,"MAY", 5, "JUN",6, "JUL", 7, "AUG", 8, "SEP", 9, "OCT", 10, "NOV", 11, "DEC", 12, "NO")</f>
        <v>6</v>
      </c>
      <c r="E42">
        <v>2026</v>
      </c>
      <c r="F42" t="s">
        <v>132</v>
      </c>
      <c r="G42">
        <f t="shared" si="0"/>
        <v>15</v>
      </c>
      <c r="H42">
        <v>47</v>
      </c>
      <c r="I42" t="s">
        <v>12</v>
      </c>
      <c r="J42">
        <v>1000</v>
      </c>
      <c r="K42" t="s">
        <v>133</v>
      </c>
      <c r="L42" t="s">
        <v>134</v>
      </c>
      <c r="M42" t="str">
        <f t="shared" si="2"/>
        <v>Wednesday</v>
      </c>
    </row>
    <row r="43" spans="1:13" x14ac:dyDescent="0.3">
      <c r="A43" s="4">
        <f t="shared" si="1"/>
        <v>46176</v>
      </c>
      <c r="B43">
        <v>3</v>
      </c>
      <c r="C43" t="s">
        <v>10</v>
      </c>
      <c r="D43" cm="1">
        <f t="array" ref="D43">_xlfn.SWITCH(C43, "JAN", 1, "FEB", 2, "MAR", 3, "APR", 4,"MAY", 5, "JUN",6, "JUL", 7, "AUG", 8, "SEP", 9, "OCT", 10, "NOV", 11, "DEC", 12, "NO")</f>
        <v>6</v>
      </c>
      <c r="E43">
        <v>2026</v>
      </c>
      <c r="F43" t="s">
        <v>135</v>
      </c>
      <c r="G43">
        <f t="shared" si="0"/>
        <v>15</v>
      </c>
      <c r="H43">
        <v>35</v>
      </c>
      <c r="I43" t="s">
        <v>12</v>
      </c>
      <c r="J43">
        <v>1000</v>
      </c>
      <c r="K43" t="s">
        <v>136</v>
      </c>
      <c r="L43" t="s">
        <v>137</v>
      </c>
      <c r="M43" t="str">
        <f t="shared" si="2"/>
        <v>Wednesday</v>
      </c>
    </row>
    <row r="44" spans="1:13" x14ac:dyDescent="0.3">
      <c r="A44" s="4">
        <f t="shared" si="1"/>
        <v>46176</v>
      </c>
      <c r="B44">
        <v>3</v>
      </c>
      <c r="C44" t="s">
        <v>10</v>
      </c>
      <c r="D44" cm="1">
        <f t="array" ref="D44">_xlfn.SWITCH(C44, "JAN", 1, "FEB", 2, "MAR", 3, "APR", 4,"MAY", 5, "JUN",6, "JUL", 7, "AUG", 8, "SEP", 9, "OCT", 10, "NOV", 11, "DEC", 12, "NO")</f>
        <v>6</v>
      </c>
      <c r="E44">
        <v>2026</v>
      </c>
      <c r="F44" t="s">
        <v>138</v>
      </c>
      <c r="G44">
        <f t="shared" si="0"/>
        <v>15</v>
      </c>
      <c r="H44">
        <v>11</v>
      </c>
      <c r="I44" t="s">
        <v>12</v>
      </c>
      <c r="J44">
        <v>20</v>
      </c>
      <c r="K44" t="s">
        <v>139</v>
      </c>
      <c r="L44" t="s">
        <v>140</v>
      </c>
      <c r="M44" t="str">
        <f t="shared" si="2"/>
        <v>Wednesday</v>
      </c>
    </row>
    <row r="45" spans="1:13" x14ac:dyDescent="0.3">
      <c r="A45" s="4">
        <f t="shared" si="1"/>
        <v>46176</v>
      </c>
      <c r="B45">
        <v>3</v>
      </c>
      <c r="C45" t="s">
        <v>10</v>
      </c>
      <c r="D45" cm="1">
        <f t="array" ref="D45">_xlfn.SWITCH(C45, "JAN", 1, "FEB", 2, "MAR", 3, "APR", 4,"MAY", 5, "JUN",6, "JUL", 7, "AUG", 8, "SEP", 9, "OCT", 10, "NOV", 11, "DEC", 12, "NO")</f>
        <v>6</v>
      </c>
      <c r="E45">
        <v>2026</v>
      </c>
      <c r="F45" t="s">
        <v>138</v>
      </c>
      <c r="G45">
        <f t="shared" si="0"/>
        <v>15</v>
      </c>
      <c r="H45">
        <v>11</v>
      </c>
      <c r="I45" t="s">
        <v>12</v>
      </c>
      <c r="J45">
        <v>980</v>
      </c>
      <c r="K45" t="s">
        <v>141</v>
      </c>
      <c r="L45" t="s">
        <v>142</v>
      </c>
      <c r="M45" t="str">
        <f t="shared" si="2"/>
        <v>Wednesday</v>
      </c>
    </row>
    <row r="46" spans="1:13" x14ac:dyDescent="0.3">
      <c r="A46" s="4">
        <f t="shared" si="1"/>
        <v>46176</v>
      </c>
      <c r="B46">
        <v>3</v>
      </c>
      <c r="C46" t="s">
        <v>10</v>
      </c>
      <c r="D46" cm="1">
        <f t="array" ref="D46">_xlfn.SWITCH(C46, "JAN", 1, "FEB", 2, "MAR", 3, "APR", 4,"MAY", 5, "JUN",6, "JUL", 7, "AUG", 8, "SEP", 9, "OCT", 10, "NOV", 11, "DEC", 12, "NO")</f>
        <v>6</v>
      </c>
      <c r="E46">
        <v>2026</v>
      </c>
      <c r="F46" t="s">
        <v>143</v>
      </c>
      <c r="G46">
        <f t="shared" si="0"/>
        <v>15</v>
      </c>
      <c r="H46">
        <v>5</v>
      </c>
      <c r="I46" t="s">
        <v>12</v>
      </c>
      <c r="J46">
        <v>1000</v>
      </c>
      <c r="K46" t="s">
        <v>144</v>
      </c>
      <c r="L46" t="s">
        <v>145</v>
      </c>
      <c r="M46" t="str">
        <f t="shared" si="2"/>
        <v>Wednesday</v>
      </c>
    </row>
    <row r="47" spans="1:13" x14ac:dyDescent="0.3">
      <c r="A47" s="4">
        <f t="shared" si="1"/>
        <v>46176</v>
      </c>
      <c r="B47">
        <v>3</v>
      </c>
      <c r="C47" t="s">
        <v>10</v>
      </c>
      <c r="D47" cm="1">
        <f t="array" ref="D47">_xlfn.SWITCH(C47, "JAN", 1, "FEB", 2, "MAR", 3, "APR", 4,"MAY", 5, "JUN",6, "JUL", 7, "AUG", 8, "SEP", 9, "OCT", 10, "NOV", 11, "DEC", 12, "NO")</f>
        <v>6</v>
      </c>
      <c r="E47">
        <v>2026</v>
      </c>
      <c r="F47" t="s">
        <v>146</v>
      </c>
      <c r="G47">
        <f t="shared" si="0"/>
        <v>15</v>
      </c>
      <c r="H47">
        <v>2</v>
      </c>
      <c r="I47" t="s">
        <v>12</v>
      </c>
      <c r="J47">
        <v>1000</v>
      </c>
      <c r="K47" t="s">
        <v>147</v>
      </c>
      <c r="L47" t="s">
        <v>148</v>
      </c>
      <c r="M47" t="str">
        <f t="shared" si="2"/>
        <v>Wednesday</v>
      </c>
    </row>
    <row r="48" spans="1:13" x14ac:dyDescent="0.3">
      <c r="A48" s="4">
        <f t="shared" si="1"/>
        <v>46176</v>
      </c>
      <c r="B48">
        <v>3</v>
      </c>
      <c r="C48" t="s">
        <v>10</v>
      </c>
      <c r="D48" cm="1">
        <f t="array" ref="D48">_xlfn.SWITCH(C48, "JAN", 1, "FEB", 2, "MAR", 3, "APR", 4,"MAY", 5, "JUN",6, "JUL", 7, "AUG", 8, "SEP", 9, "OCT", 10, "NOV", 11, "DEC", 12, "NO")</f>
        <v>6</v>
      </c>
      <c r="E48">
        <v>2026</v>
      </c>
      <c r="F48" t="s">
        <v>149</v>
      </c>
      <c r="G48">
        <f t="shared" si="0"/>
        <v>14</v>
      </c>
      <c r="H48">
        <v>52</v>
      </c>
      <c r="I48" t="s">
        <v>12</v>
      </c>
      <c r="J48">
        <v>1000</v>
      </c>
      <c r="K48" t="s">
        <v>150</v>
      </c>
      <c r="L48" t="s">
        <v>151</v>
      </c>
      <c r="M48" t="str">
        <f t="shared" si="2"/>
        <v>Wednesday</v>
      </c>
    </row>
    <row r="49" spans="1:13" x14ac:dyDescent="0.3">
      <c r="A49" s="4">
        <f t="shared" si="1"/>
        <v>46176</v>
      </c>
      <c r="B49">
        <v>3</v>
      </c>
      <c r="C49" t="s">
        <v>10</v>
      </c>
      <c r="D49" cm="1">
        <f t="array" ref="D49">_xlfn.SWITCH(C49, "JAN", 1, "FEB", 2, "MAR", 3, "APR", 4,"MAY", 5, "JUN",6, "JUL", 7, "AUG", 8, "SEP", 9, "OCT", 10, "NOV", 11, "DEC", 12, "NO")</f>
        <v>6</v>
      </c>
      <c r="E49">
        <v>2026</v>
      </c>
      <c r="F49" t="s">
        <v>152</v>
      </c>
      <c r="G49">
        <f t="shared" si="0"/>
        <v>14</v>
      </c>
      <c r="H49">
        <v>40</v>
      </c>
      <c r="I49" t="s">
        <v>12</v>
      </c>
      <c r="J49">
        <v>2300</v>
      </c>
      <c r="K49" t="s">
        <v>153</v>
      </c>
      <c r="L49" t="s">
        <v>154</v>
      </c>
      <c r="M49" t="str">
        <f t="shared" si="2"/>
        <v>Wednesday</v>
      </c>
    </row>
    <row r="50" spans="1:13" x14ac:dyDescent="0.3">
      <c r="A50" s="4">
        <f t="shared" si="1"/>
        <v>46176</v>
      </c>
      <c r="B50">
        <v>3</v>
      </c>
      <c r="C50" t="s">
        <v>10</v>
      </c>
      <c r="D50" cm="1">
        <f t="array" ref="D50">_xlfn.SWITCH(C50, "JAN", 1, "FEB", 2, "MAR", 3, "APR", 4,"MAY", 5, "JUN",6, "JUL", 7, "AUG", 8, "SEP", 9, "OCT", 10, "NOV", 11, "DEC", 12, "NO")</f>
        <v>6</v>
      </c>
      <c r="E50">
        <v>2026</v>
      </c>
      <c r="F50" t="s">
        <v>155</v>
      </c>
      <c r="G50">
        <f t="shared" si="0"/>
        <v>14</v>
      </c>
      <c r="H50">
        <v>22</v>
      </c>
      <c r="I50" t="s">
        <v>12</v>
      </c>
      <c r="J50">
        <v>985</v>
      </c>
      <c r="K50" t="s">
        <v>156</v>
      </c>
      <c r="L50" t="s">
        <v>157</v>
      </c>
      <c r="M50" t="str">
        <f t="shared" si="2"/>
        <v>Wednesday</v>
      </c>
    </row>
    <row r="51" spans="1:13" x14ac:dyDescent="0.3">
      <c r="A51" s="4">
        <f t="shared" si="1"/>
        <v>46176</v>
      </c>
      <c r="B51">
        <v>3</v>
      </c>
      <c r="C51" t="s">
        <v>10</v>
      </c>
      <c r="D51" cm="1">
        <f t="array" ref="D51">_xlfn.SWITCH(C51, "JAN", 1, "FEB", 2, "MAR", 3, "APR", 4,"MAY", 5, "JUN",6, "JUL", 7, "AUG", 8, "SEP", 9, "OCT", 10, "NOV", 11, "DEC", 12, "NO")</f>
        <v>6</v>
      </c>
      <c r="E51">
        <v>2026</v>
      </c>
      <c r="F51" t="s">
        <v>158</v>
      </c>
      <c r="G51">
        <f t="shared" si="0"/>
        <v>13</v>
      </c>
      <c r="H51">
        <v>43</v>
      </c>
      <c r="I51" t="s">
        <v>12</v>
      </c>
      <c r="J51">
        <v>1000</v>
      </c>
      <c r="K51" t="s">
        <v>159</v>
      </c>
      <c r="L51" t="s">
        <v>160</v>
      </c>
      <c r="M51" t="str">
        <f t="shared" si="2"/>
        <v>Wednesday</v>
      </c>
    </row>
    <row r="52" spans="1:13" x14ac:dyDescent="0.3">
      <c r="A52" s="4">
        <f t="shared" si="1"/>
        <v>46176</v>
      </c>
      <c r="B52">
        <v>3</v>
      </c>
      <c r="C52" t="s">
        <v>10</v>
      </c>
      <c r="D52" cm="1">
        <f t="array" ref="D52">_xlfn.SWITCH(C52, "JAN", 1, "FEB", 2, "MAR", 3, "APR", 4,"MAY", 5, "JUN",6, "JUL", 7, "AUG", 8, "SEP", 9, "OCT", 10, "NOV", 11, "DEC", 12, "NO")</f>
        <v>6</v>
      </c>
      <c r="E52">
        <v>2026</v>
      </c>
      <c r="F52" t="s">
        <v>161</v>
      </c>
      <c r="G52">
        <f t="shared" si="0"/>
        <v>13</v>
      </c>
      <c r="H52">
        <v>17</v>
      </c>
      <c r="I52" t="s">
        <v>12</v>
      </c>
      <c r="J52">
        <v>1000</v>
      </c>
      <c r="K52" t="s">
        <v>162</v>
      </c>
      <c r="L52" t="s">
        <v>163</v>
      </c>
      <c r="M52" t="str">
        <f t="shared" si="2"/>
        <v>Wednesday</v>
      </c>
    </row>
    <row r="53" spans="1:13" x14ac:dyDescent="0.3">
      <c r="A53" s="4">
        <f t="shared" si="1"/>
        <v>46176</v>
      </c>
      <c r="B53">
        <v>3</v>
      </c>
      <c r="C53" t="s">
        <v>10</v>
      </c>
      <c r="D53" cm="1">
        <f t="array" ref="D53">_xlfn.SWITCH(C53, "JAN", 1, "FEB", 2, "MAR", 3, "APR", 4,"MAY", 5, "JUN",6, "JUL", 7, "AUG", 8, "SEP", 9, "OCT", 10, "NOV", 11, "DEC", 12, "NO")</f>
        <v>6</v>
      </c>
      <c r="E53">
        <v>2026</v>
      </c>
      <c r="F53" t="s">
        <v>164</v>
      </c>
      <c r="G53">
        <f t="shared" si="0"/>
        <v>12</v>
      </c>
      <c r="H53">
        <v>41</v>
      </c>
      <c r="I53" t="s">
        <v>12</v>
      </c>
      <c r="J53">
        <v>1000</v>
      </c>
      <c r="K53" t="s">
        <v>165</v>
      </c>
      <c r="L53" t="s">
        <v>166</v>
      </c>
      <c r="M53" t="str">
        <f t="shared" si="2"/>
        <v>Wednesday</v>
      </c>
    </row>
    <row r="54" spans="1:13" x14ac:dyDescent="0.3">
      <c r="A54" s="4">
        <f t="shared" si="1"/>
        <v>46176</v>
      </c>
      <c r="B54">
        <v>3</v>
      </c>
      <c r="C54" t="s">
        <v>10</v>
      </c>
      <c r="D54" cm="1">
        <f t="array" ref="D54">_xlfn.SWITCH(C54, "JAN", 1, "FEB", 2, "MAR", 3, "APR", 4,"MAY", 5, "JUN",6, "JUL", 7, "AUG", 8, "SEP", 9, "OCT", 10, "NOV", 11, "DEC", 12, "NO")</f>
        <v>6</v>
      </c>
      <c r="E54">
        <v>2026</v>
      </c>
      <c r="F54" t="s">
        <v>167</v>
      </c>
      <c r="G54">
        <f t="shared" si="0"/>
        <v>12</v>
      </c>
      <c r="H54">
        <v>30</v>
      </c>
      <c r="I54" t="s">
        <v>12</v>
      </c>
      <c r="J54">
        <v>1000</v>
      </c>
      <c r="K54" t="s">
        <v>168</v>
      </c>
      <c r="L54" t="s">
        <v>169</v>
      </c>
      <c r="M54" t="str">
        <f t="shared" si="2"/>
        <v>Wednesday</v>
      </c>
    </row>
    <row r="55" spans="1:13" x14ac:dyDescent="0.3">
      <c r="A55" s="4">
        <f t="shared" si="1"/>
        <v>46176</v>
      </c>
      <c r="B55">
        <v>3</v>
      </c>
      <c r="C55" t="s">
        <v>10</v>
      </c>
      <c r="D55" cm="1">
        <f t="array" ref="D55">_xlfn.SWITCH(C55, "JAN", 1, "FEB", 2, "MAR", 3, "APR", 4,"MAY", 5, "JUN",6, "JUL", 7, "AUG", 8, "SEP", 9, "OCT", 10, "NOV", 11, "DEC", 12, "NO")</f>
        <v>6</v>
      </c>
      <c r="E55">
        <v>2026</v>
      </c>
      <c r="F55" t="s">
        <v>170</v>
      </c>
      <c r="G55">
        <f t="shared" si="0"/>
        <v>11</v>
      </c>
      <c r="H55">
        <v>38</v>
      </c>
      <c r="I55" t="s">
        <v>84</v>
      </c>
      <c r="J55">
        <v>20</v>
      </c>
      <c r="K55" t="s">
        <v>171</v>
      </c>
      <c r="L55" t="s">
        <v>172</v>
      </c>
      <c r="M55" t="str">
        <f t="shared" si="2"/>
        <v>Wednesday</v>
      </c>
    </row>
    <row r="56" spans="1:13" x14ac:dyDescent="0.3">
      <c r="A56" s="4">
        <f t="shared" si="1"/>
        <v>46175</v>
      </c>
      <c r="B56">
        <v>2</v>
      </c>
      <c r="C56" t="s">
        <v>10</v>
      </c>
      <c r="D56" cm="1">
        <f t="array" ref="D56">_xlfn.SWITCH(C56, "JAN", 1, "FEB", 2, "MAR", 3, "APR", 4,"MAY", 5, "JUN",6, "JUL", 7, "AUG", 8, "SEP", 9, "OCT", 10, "NOV", 11, "DEC", 12, "NO")</f>
        <v>6</v>
      </c>
      <c r="E56">
        <v>2026</v>
      </c>
      <c r="F56" t="s">
        <v>173</v>
      </c>
      <c r="G56">
        <f t="shared" si="0"/>
        <v>18</v>
      </c>
      <c r="H56">
        <v>26</v>
      </c>
      <c r="I56" t="s">
        <v>12</v>
      </c>
      <c r="J56">
        <v>3000</v>
      </c>
      <c r="K56" t="s">
        <v>174</v>
      </c>
      <c r="L56" t="s">
        <v>175</v>
      </c>
      <c r="M56" t="str">
        <f t="shared" si="2"/>
        <v>Tuesday</v>
      </c>
    </row>
    <row r="57" spans="1:13" x14ac:dyDescent="0.3">
      <c r="A57" s="4">
        <f t="shared" si="1"/>
        <v>46175</v>
      </c>
      <c r="B57">
        <v>2</v>
      </c>
      <c r="C57" t="s">
        <v>10</v>
      </c>
      <c r="D57" cm="1">
        <f t="array" ref="D57">_xlfn.SWITCH(C57, "JAN", 1, "FEB", 2, "MAR", 3, "APR", 4,"MAY", 5, "JUN",6, "JUL", 7, "AUG", 8, "SEP", 9, "OCT", 10, "NOV", 11, "DEC", 12, "NO")</f>
        <v>6</v>
      </c>
      <c r="E57">
        <v>2026</v>
      </c>
      <c r="F57" t="s">
        <v>176</v>
      </c>
      <c r="G57">
        <f t="shared" si="0"/>
        <v>18</v>
      </c>
      <c r="H57">
        <v>14</v>
      </c>
      <c r="I57" t="s">
        <v>12</v>
      </c>
      <c r="J57">
        <v>2500</v>
      </c>
      <c r="K57" t="s">
        <v>177</v>
      </c>
      <c r="L57" t="s">
        <v>178</v>
      </c>
      <c r="M57" t="str">
        <f t="shared" si="2"/>
        <v>Tuesday</v>
      </c>
    </row>
    <row r="58" spans="1:13" x14ac:dyDescent="0.3">
      <c r="A58" s="4">
        <f t="shared" si="1"/>
        <v>46175</v>
      </c>
      <c r="B58">
        <v>2</v>
      </c>
      <c r="C58" t="s">
        <v>10</v>
      </c>
      <c r="D58" cm="1">
        <f t="array" ref="D58">_xlfn.SWITCH(C58, "JAN", 1, "FEB", 2, "MAR", 3, "APR", 4,"MAY", 5, "JUN",6, "JUL", 7, "AUG", 8, "SEP", 9, "OCT", 10, "NOV", 11, "DEC", 12, "NO")</f>
        <v>6</v>
      </c>
      <c r="E58">
        <v>2026</v>
      </c>
      <c r="F58" t="s">
        <v>179</v>
      </c>
      <c r="G58">
        <f t="shared" si="0"/>
        <v>15</v>
      </c>
      <c r="H58">
        <v>55</v>
      </c>
      <c r="I58" t="s">
        <v>84</v>
      </c>
      <c r="J58">
        <v>4825</v>
      </c>
      <c r="K58" t="s">
        <v>180</v>
      </c>
      <c r="L58" t="s">
        <v>181</v>
      </c>
      <c r="M58" t="str">
        <f t="shared" si="2"/>
        <v>Tuesday</v>
      </c>
    </row>
    <row r="59" spans="1:13" x14ac:dyDescent="0.3">
      <c r="A59" s="4">
        <f t="shared" si="1"/>
        <v>46175</v>
      </c>
      <c r="B59">
        <v>2</v>
      </c>
      <c r="C59" t="s">
        <v>10</v>
      </c>
      <c r="D59" cm="1">
        <f t="array" ref="D59">_xlfn.SWITCH(C59, "JAN", 1, "FEB", 2, "MAR", 3, "APR", 4,"MAY", 5, "JUN",6, "JUL", 7, "AUG", 8, "SEP", 9, "OCT", 10, "NOV", 11, "DEC", 12, "NO")</f>
        <v>6</v>
      </c>
      <c r="E59">
        <v>2026</v>
      </c>
      <c r="F59" t="s">
        <v>182</v>
      </c>
      <c r="G59">
        <f t="shared" si="0"/>
        <v>15</v>
      </c>
      <c r="H59">
        <v>52</v>
      </c>
      <c r="I59" t="s">
        <v>12</v>
      </c>
      <c r="J59">
        <v>325</v>
      </c>
      <c r="K59" t="s">
        <v>183</v>
      </c>
      <c r="L59" t="s">
        <v>184</v>
      </c>
      <c r="M59" t="str">
        <f t="shared" si="2"/>
        <v>Tuesday</v>
      </c>
    </row>
    <row r="60" spans="1:13" x14ac:dyDescent="0.3">
      <c r="A60" s="4">
        <f t="shared" si="1"/>
        <v>46175</v>
      </c>
      <c r="B60">
        <v>2</v>
      </c>
      <c r="C60" t="s">
        <v>10</v>
      </c>
      <c r="D60" cm="1">
        <f t="array" ref="D60">_xlfn.SWITCH(C60, "JAN", 1, "FEB", 2, "MAR", 3, "APR", 4,"MAY", 5, "JUN",6, "JUL", 7, "AUG", 8, "SEP", 9, "OCT", 10, "NOV", 11, "DEC", 12, "NO")</f>
        <v>6</v>
      </c>
      <c r="E60">
        <v>2026</v>
      </c>
      <c r="F60" t="s">
        <v>185</v>
      </c>
      <c r="G60">
        <f t="shared" si="0"/>
        <v>15</v>
      </c>
      <c r="H60">
        <v>6</v>
      </c>
      <c r="I60" t="s">
        <v>12</v>
      </c>
      <c r="J60">
        <v>1000</v>
      </c>
      <c r="K60" t="s">
        <v>186</v>
      </c>
      <c r="L60" t="s">
        <v>187</v>
      </c>
      <c r="M60" t="str">
        <f t="shared" si="2"/>
        <v>Tuesday</v>
      </c>
    </row>
    <row r="61" spans="1:13" x14ac:dyDescent="0.3">
      <c r="A61" s="4">
        <f t="shared" si="1"/>
        <v>46175</v>
      </c>
      <c r="B61">
        <v>2</v>
      </c>
      <c r="C61" t="s">
        <v>10</v>
      </c>
      <c r="D61" cm="1">
        <f t="array" ref="D61">_xlfn.SWITCH(C61, "JAN", 1, "FEB", 2, "MAR", 3, "APR", 4,"MAY", 5, "JUN",6, "JUL", 7, "AUG", 8, "SEP", 9, "OCT", 10, "NOV", 11, "DEC", 12, "NO")</f>
        <v>6</v>
      </c>
      <c r="E61">
        <v>2026</v>
      </c>
      <c r="F61" t="s">
        <v>149</v>
      </c>
      <c r="G61">
        <f t="shared" si="0"/>
        <v>14</v>
      </c>
      <c r="H61">
        <v>52</v>
      </c>
      <c r="I61" t="s">
        <v>12</v>
      </c>
      <c r="J61">
        <v>1000</v>
      </c>
      <c r="K61" t="s">
        <v>188</v>
      </c>
      <c r="L61" t="s">
        <v>189</v>
      </c>
      <c r="M61" t="str">
        <f t="shared" si="2"/>
        <v>Tuesday</v>
      </c>
    </row>
    <row r="62" spans="1:13" x14ac:dyDescent="0.3">
      <c r="A62" s="4">
        <f t="shared" si="1"/>
        <v>46174</v>
      </c>
      <c r="B62">
        <v>1</v>
      </c>
      <c r="C62" t="s">
        <v>10</v>
      </c>
      <c r="D62" cm="1">
        <f t="array" ref="D62">_xlfn.SWITCH(C62, "JAN", 1, "FEB", 2, "MAR", 3, "APR", 4,"MAY", 5, "JUN",6, "JUL", 7, "AUG", 8, "SEP", 9, "OCT", 10, "NOV", 11, "DEC", 12, "NO")</f>
        <v>6</v>
      </c>
      <c r="E62">
        <v>2026</v>
      </c>
      <c r="F62" t="s">
        <v>190</v>
      </c>
      <c r="G62">
        <f t="shared" si="0"/>
        <v>16</v>
      </c>
      <c r="H62">
        <v>12</v>
      </c>
      <c r="I62" t="s">
        <v>84</v>
      </c>
      <c r="J62">
        <v>2895</v>
      </c>
      <c r="K62" t="s">
        <v>191</v>
      </c>
      <c r="L62" t="s">
        <v>192</v>
      </c>
      <c r="M62" t="str">
        <f t="shared" si="2"/>
        <v>Monday</v>
      </c>
    </row>
    <row r="63" spans="1:13" x14ac:dyDescent="0.3">
      <c r="A63" s="4">
        <f t="shared" si="1"/>
        <v>46174</v>
      </c>
      <c r="B63">
        <v>1</v>
      </c>
      <c r="C63" t="s">
        <v>10</v>
      </c>
      <c r="D63" cm="1">
        <f t="array" ref="D63">_xlfn.SWITCH(C63, "JAN", 1, "FEB", 2, "MAR", 3, "APR", 4,"MAY", 5, "JUN",6, "JUL", 7, "AUG", 8, "SEP", 9, "OCT", 10, "NOV", 11, "DEC", 12, "NO")</f>
        <v>6</v>
      </c>
      <c r="E63">
        <v>2026</v>
      </c>
      <c r="F63" t="s">
        <v>193</v>
      </c>
      <c r="G63">
        <f t="shared" si="0"/>
        <v>12</v>
      </c>
      <c r="H63">
        <v>52</v>
      </c>
      <c r="I63" t="s">
        <v>12</v>
      </c>
      <c r="J63">
        <v>965</v>
      </c>
      <c r="K63" t="s">
        <v>194</v>
      </c>
      <c r="L63" t="s">
        <v>195</v>
      </c>
      <c r="M63" t="str">
        <f t="shared" si="2"/>
        <v>Monday</v>
      </c>
    </row>
    <row r="64" spans="1:13" x14ac:dyDescent="0.3">
      <c r="A64" s="4">
        <f t="shared" si="1"/>
        <v>46174</v>
      </c>
      <c r="B64">
        <v>1</v>
      </c>
      <c r="C64" t="s">
        <v>10</v>
      </c>
      <c r="D64" cm="1">
        <f t="array" ref="D64">_xlfn.SWITCH(C64, "JAN", 1, "FEB", 2, "MAR", 3, "APR", 4,"MAY", 5, "JUN",6, "JUL", 7, "AUG", 8, "SEP", 9, "OCT", 10, "NOV", 11, "DEC", 12, "NO")</f>
        <v>6</v>
      </c>
      <c r="E64">
        <v>2026</v>
      </c>
      <c r="F64" t="s">
        <v>164</v>
      </c>
      <c r="G64">
        <f t="shared" si="0"/>
        <v>12</v>
      </c>
      <c r="H64">
        <v>41</v>
      </c>
      <c r="I64" t="s">
        <v>12</v>
      </c>
      <c r="J64">
        <v>1000</v>
      </c>
      <c r="K64" t="s">
        <v>196</v>
      </c>
      <c r="L64" t="s">
        <v>197</v>
      </c>
      <c r="M64" t="str">
        <f t="shared" si="2"/>
        <v>Monday</v>
      </c>
    </row>
    <row r="65" spans="1:13" x14ac:dyDescent="0.3">
      <c r="A65" s="4">
        <f t="shared" si="1"/>
        <v>46174</v>
      </c>
      <c r="B65">
        <v>1</v>
      </c>
      <c r="C65" t="s">
        <v>10</v>
      </c>
      <c r="D65" cm="1">
        <f t="array" ref="D65">_xlfn.SWITCH(C65, "JAN", 1, "FEB", 2, "MAR", 3, "APR", 4,"MAY", 5, "JUN",6, "JUL", 7, "AUG", 8, "SEP", 9, "OCT", 10, "NOV", 11, "DEC", 12, "NO")</f>
        <v>6</v>
      </c>
      <c r="E65">
        <v>2026</v>
      </c>
      <c r="F65" t="s">
        <v>198</v>
      </c>
      <c r="G65">
        <f t="shared" si="0"/>
        <v>12</v>
      </c>
      <c r="H65">
        <v>33</v>
      </c>
      <c r="I65" t="s">
        <v>12</v>
      </c>
      <c r="J65">
        <v>1000</v>
      </c>
      <c r="K65" t="s">
        <v>199</v>
      </c>
      <c r="L65" t="s">
        <v>200</v>
      </c>
      <c r="M65" t="str">
        <f t="shared" si="2"/>
        <v>Monday</v>
      </c>
    </row>
    <row r="66" spans="1:13" x14ac:dyDescent="0.3">
      <c r="A66" s="4">
        <f t="shared" ref="A66:A129" si="3">DATE(E66, D66, B66)</f>
        <v>46174</v>
      </c>
      <c r="B66">
        <v>1</v>
      </c>
      <c r="C66" t="s">
        <v>10</v>
      </c>
      <c r="D66" cm="1">
        <f t="array" ref="D66">_xlfn.SWITCH(C66, "JAN", 1, "FEB", 2, "MAR", 3, "APR", 4,"MAY", 5, "JUN",6, "JUL", 7, "AUG", 8, "SEP", 9, "OCT", 10, "NOV", 11, "DEC", 12, "NO")</f>
        <v>6</v>
      </c>
      <c r="E66">
        <v>2026</v>
      </c>
      <c r="F66" t="s">
        <v>201</v>
      </c>
      <c r="G66">
        <f t="shared" si="0"/>
        <v>12</v>
      </c>
      <c r="H66">
        <v>17</v>
      </c>
      <c r="I66" t="s">
        <v>84</v>
      </c>
      <c r="J66">
        <v>200</v>
      </c>
      <c r="K66" t="s">
        <v>202</v>
      </c>
      <c r="L66" t="s">
        <v>203</v>
      </c>
      <c r="M66" t="str">
        <f t="shared" ref="M66:M129" si="4">TEXT(A66, "DDDD")</f>
        <v>Monday</v>
      </c>
    </row>
    <row r="67" spans="1:13" x14ac:dyDescent="0.3">
      <c r="A67" s="4">
        <f t="shared" si="3"/>
        <v>46174</v>
      </c>
      <c r="B67">
        <v>1</v>
      </c>
      <c r="C67" t="s">
        <v>10</v>
      </c>
      <c r="D67" cm="1">
        <f t="array" ref="D67">_xlfn.SWITCH(C67, "JAN", 1, "FEB", 2, "MAR", 3, "APR", 4,"MAY", 5, "JUN",6, "JUL", 7, "AUG", 8, "SEP", 9, "OCT", 10, "NOV", 11, "DEC", 12, "NO")</f>
        <v>6</v>
      </c>
      <c r="E67">
        <v>2026</v>
      </c>
      <c r="F67" t="s">
        <v>204</v>
      </c>
      <c r="G67">
        <f t="shared" ref="G67:G130" si="5">HOUR(F67)</f>
        <v>7</v>
      </c>
      <c r="H67">
        <v>54</v>
      </c>
      <c r="I67" t="s">
        <v>84</v>
      </c>
      <c r="J67">
        <v>2500</v>
      </c>
      <c r="K67" t="s">
        <v>205</v>
      </c>
      <c r="L67" t="s">
        <v>206</v>
      </c>
      <c r="M67" t="str">
        <f t="shared" si="4"/>
        <v>Monday</v>
      </c>
    </row>
    <row r="68" spans="1:13" x14ac:dyDescent="0.3">
      <c r="A68" s="4">
        <f t="shared" si="3"/>
        <v>46173</v>
      </c>
      <c r="B68">
        <v>31</v>
      </c>
      <c r="C68" t="s">
        <v>207</v>
      </c>
      <c r="D68" cm="1">
        <f t="array" ref="D68">_xlfn.SWITCH(C68, "JAN", 1, "FEB", 2, "MAR", 3, "APR", 4,"MAY", 5, "JUN",6, "JUL", 7, "AUG", 8, "SEP", 9, "OCT", 10, "NOV", 11, "DEC", 12, "NO")</f>
        <v>5</v>
      </c>
      <c r="E68">
        <v>2026</v>
      </c>
      <c r="F68" t="s">
        <v>208</v>
      </c>
      <c r="G68">
        <f t="shared" si="5"/>
        <v>21</v>
      </c>
      <c r="H68">
        <v>40</v>
      </c>
      <c r="I68" t="s">
        <v>12</v>
      </c>
      <c r="J68">
        <v>2500</v>
      </c>
      <c r="K68" t="s">
        <v>209</v>
      </c>
      <c r="L68" t="s">
        <v>210</v>
      </c>
      <c r="M68" t="str">
        <f t="shared" si="4"/>
        <v>Sunday</v>
      </c>
    </row>
    <row r="69" spans="1:13" x14ac:dyDescent="0.3">
      <c r="A69" s="4">
        <f t="shared" si="3"/>
        <v>46173</v>
      </c>
      <c r="B69">
        <v>31</v>
      </c>
      <c r="C69" t="s">
        <v>207</v>
      </c>
      <c r="D69" cm="1">
        <f t="array" ref="D69">_xlfn.SWITCH(C69, "JAN", 1, "FEB", 2, "MAR", 3, "APR", 4,"MAY", 5, "JUN",6, "JUL", 7, "AUG", 8, "SEP", 9, "OCT", 10, "NOV", 11, "DEC", 12, "NO")</f>
        <v>5</v>
      </c>
      <c r="E69">
        <v>2026</v>
      </c>
      <c r="F69" t="s">
        <v>211</v>
      </c>
      <c r="G69">
        <f t="shared" si="5"/>
        <v>19</v>
      </c>
      <c r="H69">
        <v>29</v>
      </c>
      <c r="I69" t="s">
        <v>84</v>
      </c>
      <c r="J69">
        <v>185</v>
      </c>
      <c r="K69" t="s">
        <v>212</v>
      </c>
      <c r="L69" t="s">
        <v>213</v>
      </c>
      <c r="M69" t="str">
        <f t="shared" si="4"/>
        <v>Sunday</v>
      </c>
    </row>
    <row r="70" spans="1:13" x14ac:dyDescent="0.3">
      <c r="A70" s="4">
        <f t="shared" si="3"/>
        <v>46173</v>
      </c>
      <c r="B70">
        <v>31</v>
      </c>
      <c r="C70" t="s">
        <v>207</v>
      </c>
      <c r="D70" cm="1">
        <f t="array" ref="D70">_xlfn.SWITCH(C70, "JAN", 1, "FEB", 2, "MAR", 3, "APR", 4,"MAY", 5, "JUN",6, "JUL", 7, "AUG", 8, "SEP", 9, "OCT", 10, "NOV", 11, "DEC", 12, "NO")</f>
        <v>5</v>
      </c>
      <c r="E70">
        <v>2026</v>
      </c>
      <c r="F70" t="s">
        <v>214</v>
      </c>
      <c r="G70">
        <f t="shared" si="5"/>
        <v>19</v>
      </c>
      <c r="H70">
        <v>28</v>
      </c>
      <c r="I70" t="s">
        <v>84</v>
      </c>
      <c r="J70">
        <v>1930</v>
      </c>
      <c r="K70" t="s">
        <v>215</v>
      </c>
      <c r="L70" t="s">
        <v>216</v>
      </c>
      <c r="M70" t="str">
        <f t="shared" si="4"/>
        <v>Sunday</v>
      </c>
    </row>
    <row r="71" spans="1:13" x14ac:dyDescent="0.3">
      <c r="A71" s="4">
        <f t="shared" si="3"/>
        <v>46173</v>
      </c>
      <c r="B71">
        <v>31</v>
      </c>
      <c r="C71" t="s">
        <v>207</v>
      </c>
      <c r="D71" cm="1">
        <f t="array" ref="D71">_xlfn.SWITCH(C71, "JAN", 1, "FEB", 2, "MAR", 3, "APR", 4,"MAY", 5, "JUN",6, "JUL", 7, "AUG", 8, "SEP", 9, "OCT", 10, "NOV", 11, "DEC", 12, "NO")</f>
        <v>5</v>
      </c>
      <c r="E71">
        <v>2026</v>
      </c>
      <c r="F71" t="s">
        <v>217</v>
      </c>
      <c r="G71">
        <f t="shared" si="5"/>
        <v>15</v>
      </c>
      <c r="H71">
        <v>38</v>
      </c>
      <c r="I71" t="s">
        <v>12</v>
      </c>
      <c r="J71">
        <v>1000</v>
      </c>
      <c r="K71" t="s">
        <v>218</v>
      </c>
      <c r="L71" t="s">
        <v>219</v>
      </c>
      <c r="M71" t="str">
        <f t="shared" si="4"/>
        <v>Sunday</v>
      </c>
    </row>
    <row r="72" spans="1:13" x14ac:dyDescent="0.3">
      <c r="A72" s="4">
        <f t="shared" si="3"/>
        <v>46173</v>
      </c>
      <c r="B72">
        <v>31</v>
      </c>
      <c r="C72" t="s">
        <v>207</v>
      </c>
      <c r="D72" cm="1">
        <f t="array" ref="D72">_xlfn.SWITCH(C72, "JAN", 1, "FEB", 2, "MAR", 3, "APR", 4,"MAY", 5, "JUN",6, "JUL", 7, "AUG", 8, "SEP", 9, "OCT", 10, "NOV", 11, "DEC", 12, "NO")</f>
        <v>5</v>
      </c>
      <c r="E72">
        <v>2026</v>
      </c>
      <c r="F72" t="s">
        <v>220</v>
      </c>
      <c r="G72">
        <f t="shared" si="5"/>
        <v>14</v>
      </c>
      <c r="H72">
        <v>13</v>
      </c>
      <c r="I72" t="s">
        <v>12</v>
      </c>
      <c r="J72">
        <v>975</v>
      </c>
      <c r="K72" t="s">
        <v>221</v>
      </c>
      <c r="L72" t="s">
        <v>222</v>
      </c>
      <c r="M72" t="str">
        <f t="shared" si="4"/>
        <v>Sunday</v>
      </c>
    </row>
    <row r="73" spans="1:13" x14ac:dyDescent="0.3">
      <c r="A73" s="4">
        <f t="shared" si="3"/>
        <v>46173</v>
      </c>
      <c r="B73">
        <v>31</v>
      </c>
      <c r="C73" t="s">
        <v>207</v>
      </c>
      <c r="D73" cm="1">
        <f t="array" ref="D73">_xlfn.SWITCH(C73, "JAN", 1, "FEB", 2, "MAR", 3, "APR", 4,"MAY", 5, "JUN",6, "JUL", 7, "AUG", 8, "SEP", 9, "OCT", 10, "NOV", 11, "DEC", 12, "NO")</f>
        <v>5</v>
      </c>
      <c r="E73">
        <v>2026</v>
      </c>
      <c r="F73" t="s">
        <v>223</v>
      </c>
      <c r="G73">
        <f t="shared" si="5"/>
        <v>6</v>
      </c>
      <c r="H73">
        <v>14</v>
      </c>
      <c r="I73" t="s">
        <v>84</v>
      </c>
      <c r="J73">
        <v>1730</v>
      </c>
      <c r="K73" t="s">
        <v>224</v>
      </c>
      <c r="L73" t="s">
        <v>225</v>
      </c>
      <c r="M73" t="str">
        <f t="shared" si="4"/>
        <v>Sunday</v>
      </c>
    </row>
    <row r="74" spans="1:13" x14ac:dyDescent="0.3">
      <c r="A74" s="4">
        <f t="shared" si="3"/>
        <v>46173</v>
      </c>
      <c r="B74">
        <v>31</v>
      </c>
      <c r="C74" t="s">
        <v>207</v>
      </c>
      <c r="D74" cm="1">
        <f t="array" ref="D74">_xlfn.SWITCH(C74, "JAN", 1, "FEB", 2, "MAR", 3, "APR", 4,"MAY", 5, "JUN",6, "JUL", 7, "AUG", 8, "SEP", 9, "OCT", 10, "NOV", 11, "DEC", 12, "NO")</f>
        <v>5</v>
      </c>
      <c r="E74">
        <v>2026</v>
      </c>
      <c r="F74" t="s">
        <v>226</v>
      </c>
      <c r="G74">
        <f t="shared" si="5"/>
        <v>0</v>
      </c>
      <c r="H74">
        <v>7</v>
      </c>
      <c r="I74" t="s">
        <v>12</v>
      </c>
      <c r="J74">
        <v>1000</v>
      </c>
      <c r="K74" t="s">
        <v>227</v>
      </c>
      <c r="L74" t="s">
        <v>228</v>
      </c>
      <c r="M74" t="str">
        <f t="shared" si="4"/>
        <v>Sunday</v>
      </c>
    </row>
    <row r="75" spans="1:13" x14ac:dyDescent="0.3">
      <c r="A75" s="4">
        <f t="shared" si="3"/>
        <v>46172</v>
      </c>
      <c r="B75">
        <v>30</v>
      </c>
      <c r="C75" t="s">
        <v>207</v>
      </c>
      <c r="D75" cm="1">
        <f t="array" ref="D75">_xlfn.SWITCH(C75, "JAN", 1, "FEB", 2, "MAR", 3, "APR", 4,"MAY", 5, "JUN",6, "JUL", 7, "AUG", 8, "SEP", 9, "OCT", 10, "NOV", 11, "DEC", 12, "NO")</f>
        <v>5</v>
      </c>
      <c r="E75">
        <v>2026</v>
      </c>
      <c r="F75" t="s">
        <v>229</v>
      </c>
      <c r="G75">
        <f t="shared" si="5"/>
        <v>19</v>
      </c>
      <c r="H75">
        <v>48</v>
      </c>
      <c r="I75" t="s">
        <v>84</v>
      </c>
      <c r="J75">
        <v>45</v>
      </c>
      <c r="K75" t="s">
        <v>230</v>
      </c>
      <c r="L75" t="s">
        <v>231</v>
      </c>
      <c r="M75" t="str">
        <f t="shared" si="4"/>
        <v>Saturday</v>
      </c>
    </row>
    <row r="76" spans="1:13" x14ac:dyDescent="0.3">
      <c r="A76" s="4">
        <f t="shared" si="3"/>
        <v>46172</v>
      </c>
      <c r="B76">
        <v>30</v>
      </c>
      <c r="C76" t="s">
        <v>207</v>
      </c>
      <c r="D76" cm="1">
        <f t="array" ref="D76">_xlfn.SWITCH(C76, "JAN", 1, "FEB", 2, "MAR", 3, "APR", 4,"MAY", 5, "JUN",6, "JUL", 7, "AUG", 8, "SEP", 9, "OCT", 10, "NOV", 11, "DEC", 12, "NO")</f>
        <v>5</v>
      </c>
      <c r="E76">
        <v>2026</v>
      </c>
      <c r="F76" t="s">
        <v>232</v>
      </c>
      <c r="G76">
        <f t="shared" si="5"/>
        <v>19</v>
      </c>
      <c r="H76">
        <v>38</v>
      </c>
      <c r="I76" t="s">
        <v>84</v>
      </c>
      <c r="J76">
        <v>140</v>
      </c>
      <c r="K76" t="s">
        <v>233</v>
      </c>
      <c r="L76" t="s">
        <v>234</v>
      </c>
      <c r="M76" t="str">
        <f t="shared" si="4"/>
        <v>Saturday</v>
      </c>
    </row>
    <row r="77" spans="1:13" x14ac:dyDescent="0.3">
      <c r="A77" s="4">
        <f t="shared" si="3"/>
        <v>46172</v>
      </c>
      <c r="B77">
        <v>30</v>
      </c>
      <c r="C77" t="s">
        <v>207</v>
      </c>
      <c r="D77" cm="1">
        <f t="array" ref="D77">_xlfn.SWITCH(C77, "JAN", 1, "FEB", 2, "MAR", 3, "APR", 4,"MAY", 5, "JUN",6, "JUL", 7, "AUG", 8, "SEP", 9, "OCT", 10, "NOV", 11, "DEC", 12, "NO")</f>
        <v>5</v>
      </c>
      <c r="E77">
        <v>2026</v>
      </c>
      <c r="F77" t="s">
        <v>235</v>
      </c>
      <c r="G77">
        <f t="shared" si="5"/>
        <v>19</v>
      </c>
      <c r="H77">
        <v>34</v>
      </c>
      <c r="I77" t="s">
        <v>84</v>
      </c>
      <c r="J77">
        <v>90</v>
      </c>
      <c r="K77" t="s">
        <v>236</v>
      </c>
      <c r="L77" t="s">
        <v>237</v>
      </c>
      <c r="M77" t="str">
        <f t="shared" si="4"/>
        <v>Saturday</v>
      </c>
    </row>
    <row r="78" spans="1:13" x14ac:dyDescent="0.3">
      <c r="A78" s="4">
        <f t="shared" si="3"/>
        <v>46172</v>
      </c>
      <c r="B78">
        <v>30</v>
      </c>
      <c r="C78" t="s">
        <v>207</v>
      </c>
      <c r="D78" cm="1">
        <f t="array" ref="D78">_xlfn.SWITCH(C78, "JAN", 1, "FEB", 2, "MAR", 3, "APR", 4,"MAY", 5, "JUN",6, "JUL", 7, "AUG", 8, "SEP", 9, "OCT", 10, "NOV", 11, "DEC", 12, "NO")</f>
        <v>5</v>
      </c>
      <c r="E78">
        <v>2026</v>
      </c>
      <c r="F78" t="s">
        <v>214</v>
      </c>
      <c r="G78">
        <f t="shared" si="5"/>
        <v>19</v>
      </c>
      <c r="H78">
        <v>28</v>
      </c>
      <c r="I78" t="s">
        <v>84</v>
      </c>
      <c r="J78">
        <v>100</v>
      </c>
      <c r="K78" t="s">
        <v>238</v>
      </c>
      <c r="L78" t="s">
        <v>239</v>
      </c>
      <c r="M78" t="str">
        <f t="shared" si="4"/>
        <v>Saturday</v>
      </c>
    </row>
    <row r="79" spans="1:13" x14ac:dyDescent="0.3">
      <c r="A79" s="4">
        <f t="shared" si="3"/>
        <v>46172</v>
      </c>
      <c r="B79">
        <v>30</v>
      </c>
      <c r="C79" t="s">
        <v>207</v>
      </c>
      <c r="D79" cm="1">
        <f t="array" ref="D79">_xlfn.SWITCH(C79, "JAN", 1, "FEB", 2, "MAR", 3, "APR", 4,"MAY", 5, "JUN",6, "JUL", 7, "AUG", 8, "SEP", 9, "OCT", 10, "NOV", 11, "DEC", 12, "NO")</f>
        <v>5</v>
      </c>
      <c r="E79">
        <v>2026</v>
      </c>
      <c r="F79" t="s">
        <v>240</v>
      </c>
      <c r="G79">
        <f t="shared" si="5"/>
        <v>18</v>
      </c>
      <c r="H79">
        <v>31</v>
      </c>
      <c r="I79" t="s">
        <v>84</v>
      </c>
      <c r="J79">
        <v>2895</v>
      </c>
      <c r="K79" t="s">
        <v>241</v>
      </c>
      <c r="L79" t="s">
        <v>242</v>
      </c>
      <c r="M79" t="str">
        <f t="shared" si="4"/>
        <v>Saturday</v>
      </c>
    </row>
    <row r="80" spans="1:13" x14ac:dyDescent="0.3">
      <c r="A80" s="4">
        <f t="shared" si="3"/>
        <v>46172</v>
      </c>
      <c r="B80">
        <v>30</v>
      </c>
      <c r="C80" t="s">
        <v>207</v>
      </c>
      <c r="D80" cm="1">
        <f t="array" ref="D80">_xlfn.SWITCH(C80, "JAN", 1, "FEB", 2, "MAR", 3, "APR", 4,"MAY", 5, "JUN",6, "JUL", 7, "AUG", 8, "SEP", 9, "OCT", 10, "NOV", 11, "DEC", 12, "NO")</f>
        <v>5</v>
      </c>
      <c r="E80">
        <v>2026</v>
      </c>
      <c r="F80" t="s">
        <v>243</v>
      </c>
      <c r="G80">
        <f t="shared" si="5"/>
        <v>17</v>
      </c>
      <c r="H80">
        <v>0</v>
      </c>
      <c r="I80" t="s">
        <v>12</v>
      </c>
      <c r="J80">
        <v>1000</v>
      </c>
      <c r="K80" t="s">
        <v>244</v>
      </c>
      <c r="L80" t="s">
        <v>245</v>
      </c>
      <c r="M80" t="str">
        <f t="shared" si="4"/>
        <v>Saturday</v>
      </c>
    </row>
    <row r="81" spans="1:13" x14ac:dyDescent="0.3">
      <c r="A81" s="4">
        <f t="shared" si="3"/>
        <v>46172</v>
      </c>
      <c r="B81">
        <v>30</v>
      </c>
      <c r="C81" t="s">
        <v>207</v>
      </c>
      <c r="D81" cm="1">
        <f t="array" ref="D81">_xlfn.SWITCH(C81, "JAN", 1, "FEB", 2, "MAR", 3, "APR", 4,"MAY", 5, "JUN",6, "JUL", 7, "AUG", 8, "SEP", 9, "OCT", 10, "NOV", 11, "DEC", 12, "NO")</f>
        <v>5</v>
      </c>
      <c r="E81">
        <v>2026</v>
      </c>
      <c r="F81" t="s">
        <v>120</v>
      </c>
      <c r="G81">
        <f t="shared" si="5"/>
        <v>16</v>
      </c>
      <c r="H81">
        <v>21</v>
      </c>
      <c r="I81" t="s">
        <v>12</v>
      </c>
      <c r="J81">
        <v>1000</v>
      </c>
      <c r="K81" t="s">
        <v>246</v>
      </c>
      <c r="L81" t="s">
        <v>247</v>
      </c>
      <c r="M81" t="str">
        <f t="shared" si="4"/>
        <v>Saturday</v>
      </c>
    </row>
    <row r="82" spans="1:13" x14ac:dyDescent="0.3">
      <c r="A82" s="4">
        <f t="shared" si="3"/>
        <v>46172</v>
      </c>
      <c r="B82">
        <v>30</v>
      </c>
      <c r="C82" t="s">
        <v>207</v>
      </c>
      <c r="D82" cm="1">
        <f t="array" ref="D82">_xlfn.SWITCH(C82, "JAN", 1, "FEB", 2, "MAR", 3, "APR", 4,"MAY", 5, "JUN",6, "JUL", 7, "AUG", 8, "SEP", 9, "OCT", 10, "NOV", 11, "DEC", 12, "NO")</f>
        <v>5</v>
      </c>
      <c r="E82">
        <v>2026</v>
      </c>
      <c r="F82" t="s">
        <v>248</v>
      </c>
      <c r="G82">
        <f t="shared" si="5"/>
        <v>15</v>
      </c>
      <c r="H82">
        <v>53</v>
      </c>
      <c r="I82" t="s">
        <v>12</v>
      </c>
      <c r="J82">
        <v>1000</v>
      </c>
      <c r="K82" t="s">
        <v>249</v>
      </c>
      <c r="L82" t="s">
        <v>250</v>
      </c>
      <c r="M82" t="str">
        <f t="shared" si="4"/>
        <v>Saturday</v>
      </c>
    </row>
    <row r="83" spans="1:13" x14ac:dyDescent="0.3">
      <c r="A83" s="4">
        <f t="shared" si="3"/>
        <v>46172</v>
      </c>
      <c r="B83">
        <v>30</v>
      </c>
      <c r="C83" t="s">
        <v>207</v>
      </c>
      <c r="D83" cm="1">
        <f t="array" ref="D83">_xlfn.SWITCH(C83, "JAN", 1, "FEB", 2, "MAR", 3, "APR", 4,"MAY", 5, "JUN",6, "JUL", 7, "AUG", 8, "SEP", 9, "OCT", 10, "NOV", 11, "DEC", 12, "NO")</f>
        <v>5</v>
      </c>
      <c r="E83">
        <v>2026</v>
      </c>
      <c r="F83" t="s">
        <v>251</v>
      </c>
      <c r="G83">
        <f t="shared" si="5"/>
        <v>15</v>
      </c>
      <c r="H83">
        <v>45</v>
      </c>
      <c r="I83" t="s">
        <v>84</v>
      </c>
      <c r="J83">
        <v>39</v>
      </c>
      <c r="K83" t="s">
        <v>252</v>
      </c>
      <c r="L83" t="s">
        <v>253</v>
      </c>
      <c r="M83" t="str">
        <f t="shared" si="4"/>
        <v>Saturday</v>
      </c>
    </row>
    <row r="84" spans="1:13" x14ac:dyDescent="0.3">
      <c r="A84" s="4">
        <f t="shared" si="3"/>
        <v>46172</v>
      </c>
      <c r="B84">
        <v>30</v>
      </c>
      <c r="C84" t="s">
        <v>207</v>
      </c>
      <c r="D84" cm="1">
        <f t="array" ref="D84">_xlfn.SWITCH(C84, "JAN", 1, "FEB", 2, "MAR", 3, "APR", 4,"MAY", 5, "JUN",6, "JUL", 7, "AUG", 8, "SEP", 9, "OCT", 10, "NOV", 11, "DEC", 12, "NO")</f>
        <v>5</v>
      </c>
      <c r="E84">
        <v>2026</v>
      </c>
      <c r="F84" t="s">
        <v>198</v>
      </c>
      <c r="G84">
        <f t="shared" si="5"/>
        <v>12</v>
      </c>
      <c r="H84">
        <v>33</v>
      </c>
      <c r="I84" t="s">
        <v>12</v>
      </c>
      <c r="J84">
        <v>1000</v>
      </c>
      <c r="K84" t="s">
        <v>254</v>
      </c>
      <c r="L84" t="s">
        <v>255</v>
      </c>
      <c r="M84" t="str">
        <f t="shared" si="4"/>
        <v>Saturday</v>
      </c>
    </row>
    <row r="85" spans="1:13" x14ac:dyDescent="0.3">
      <c r="A85" s="4">
        <f t="shared" si="3"/>
        <v>46172</v>
      </c>
      <c r="B85">
        <v>30</v>
      </c>
      <c r="C85" t="s">
        <v>207</v>
      </c>
      <c r="D85" cm="1">
        <f t="array" ref="D85">_xlfn.SWITCH(C85, "JAN", 1, "FEB", 2, "MAR", 3, "APR", 4,"MAY", 5, "JUN",6, "JUL", 7, "AUG", 8, "SEP", 9, "OCT", 10, "NOV", 11, "DEC", 12, "NO")</f>
        <v>5</v>
      </c>
      <c r="E85">
        <v>2026</v>
      </c>
      <c r="F85" t="s">
        <v>167</v>
      </c>
      <c r="G85">
        <f t="shared" si="5"/>
        <v>12</v>
      </c>
      <c r="H85">
        <v>30</v>
      </c>
      <c r="I85" t="s">
        <v>84</v>
      </c>
      <c r="J85">
        <v>19</v>
      </c>
      <c r="K85" t="s">
        <v>256</v>
      </c>
      <c r="L85" t="s">
        <v>257</v>
      </c>
      <c r="M85" t="str">
        <f t="shared" si="4"/>
        <v>Saturday</v>
      </c>
    </row>
    <row r="86" spans="1:13" x14ac:dyDescent="0.3">
      <c r="A86" s="4">
        <f t="shared" si="3"/>
        <v>46171</v>
      </c>
      <c r="B86">
        <v>29</v>
      </c>
      <c r="C86" t="s">
        <v>207</v>
      </c>
      <c r="D86" cm="1">
        <f t="array" ref="D86">_xlfn.SWITCH(C86, "JAN", 1, "FEB", 2, "MAR", 3, "APR", 4,"MAY", 5, "JUN",6, "JUL", 7, "AUG", 8, "SEP", 9, "OCT", 10, "NOV", 11, "DEC", 12, "NO")</f>
        <v>5</v>
      </c>
      <c r="E86">
        <v>2026</v>
      </c>
      <c r="F86" t="s">
        <v>258</v>
      </c>
      <c r="G86">
        <f t="shared" si="5"/>
        <v>18</v>
      </c>
      <c r="H86">
        <v>52</v>
      </c>
      <c r="I86" t="s">
        <v>84</v>
      </c>
      <c r="J86">
        <v>12545</v>
      </c>
      <c r="K86" t="s">
        <v>259</v>
      </c>
      <c r="L86" t="s">
        <v>260</v>
      </c>
      <c r="M86" t="str">
        <f t="shared" si="4"/>
        <v>Friday</v>
      </c>
    </row>
    <row r="87" spans="1:13" x14ac:dyDescent="0.3">
      <c r="A87" s="4">
        <f t="shared" si="3"/>
        <v>46171</v>
      </c>
      <c r="B87">
        <v>29</v>
      </c>
      <c r="C87" t="s">
        <v>207</v>
      </c>
      <c r="D87" cm="1">
        <f t="array" ref="D87">_xlfn.SWITCH(C87, "JAN", 1, "FEB", 2, "MAR", 3, "APR", 4,"MAY", 5, "JUN",6, "JUL", 7, "AUG", 8, "SEP", 9, "OCT", 10, "NOV", 11, "DEC", 12, "NO")</f>
        <v>5</v>
      </c>
      <c r="E87">
        <v>2026</v>
      </c>
      <c r="F87" t="s">
        <v>261</v>
      </c>
      <c r="G87">
        <f t="shared" si="5"/>
        <v>18</v>
      </c>
      <c r="H87">
        <v>50</v>
      </c>
      <c r="I87" t="s">
        <v>12</v>
      </c>
      <c r="J87">
        <v>50</v>
      </c>
      <c r="K87" t="s">
        <v>262</v>
      </c>
      <c r="L87" t="s">
        <v>263</v>
      </c>
      <c r="M87" t="str">
        <f t="shared" si="4"/>
        <v>Friday</v>
      </c>
    </row>
    <row r="88" spans="1:13" x14ac:dyDescent="0.3">
      <c r="A88" s="4">
        <f t="shared" si="3"/>
        <v>46171</v>
      </c>
      <c r="B88">
        <v>29</v>
      </c>
      <c r="C88" t="s">
        <v>207</v>
      </c>
      <c r="D88" cm="1">
        <f t="array" ref="D88">_xlfn.SWITCH(C88, "JAN", 1, "FEB", 2, "MAR", 3, "APR", 4,"MAY", 5, "JUN",6, "JUL", 7, "AUG", 8, "SEP", 9, "OCT", 10, "NOV", 11, "DEC", 12, "NO")</f>
        <v>5</v>
      </c>
      <c r="E88">
        <v>2026</v>
      </c>
      <c r="F88" t="s">
        <v>264</v>
      </c>
      <c r="G88">
        <f t="shared" si="5"/>
        <v>18</v>
      </c>
      <c r="H88">
        <v>43</v>
      </c>
      <c r="I88" t="s">
        <v>84</v>
      </c>
      <c r="J88">
        <v>19</v>
      </c>
      <c r="K88" t="s">
        <v>265</v>
      </c>
      <c r="L88" t="s">
        <v>266</v>
      </c>
      <c r="M88" t="str">
        <f t="shared" si="4"/>
        <v>Friday</v>
      </c>
    </row>
    <row r="89" spans="1:13" x14ac:dyDescent="0.3">
      <c r="A89" s="4">
        <f t="shared" si="3"/>
        <v>46171</v>
      </c>
      <c r="B89">
        <v>29</v>
      </c>
      <c r="C89" t="s">
        <v>207</v>
      </c>
      <c r="D89" cm="1">
        <f t="array" ref="D89">_xlfn.SWITCH(C89, "JAN", 1, "FEB", 2, "MAR", 3, "APR", 4,"MAY", 5, "JUN",6, "JUL", 7, "AUG", 8, "SEP", 9, "OCT", 10, "NOV", 11, "DEC", 12, "NO")</f>
        <v>5</v>
      </c>
      <c r="E89">
        <v>2026</v>
      </c>
      <c r="F89" t="s">
        <v>93</v>
      </c>
      <c r="G89">
        <f t="shared" si="5"/>
        <v>18</v>
      </c>
      <c r="H89">
        <v>36</v>
      </c>
      <c r="I89" t="s">
        <v>12</v>
      </c>
      <c r="J89">
        <v>2500</v>
      </c>
      <c r="K89" t="s">
        <v>267</v>
      </c>
      <c r="L89" t="s">
        <v>268</v>
      </c>
      <c r="M89" t="str">
        <f t="shared" si="4"/>
        <v>Friday</v>
      </c>
    </row>
    <row r="90" spans="1:13" x14ac:dyDescent="0.3">
      <c r="A90" s="4">
        <f t="shared" si="3"/>
        <v>46171</v>
      </c>
      <c r="B90">
        <v>29</v>
      </c>
      <c r="C90" t="s">
        <v>207</v>
      </c>
      <c r="D90" cm="1">
        <f t="array" ref="D90">_xlfn.SWITCH(C90, "JAN", 1, "FEB", 2, "MAR", 3, "APR", 4,"MAY", 5, "JUN",6, "JUL", 7, "AUG", 8, "SEP", 9, "OCT", 10, "NOV", 11, "DEC", 12, "NO")</f>
        <v>5</v>
      </c>
      <c r="E90">
        <v>2026</v>
      </c>
      <c r="F90" t="s">
        <v>269</v>
      </c>
      <c r="G90">
        <f t="shared" si="5"/>
        <v>18</v>
      </c>
      <c r="H90">
        <v>13</v>
      </c>
      <c r="I90" t="s">
        <v>12</v>
      </c>
      <c r="J90">
        <v>2500</v>
      </c>
      <c r="K90" t="s">
        <v>270</v>
      </c>
      <c r="L90" t="s">
        <v>271</v>
      </c>
      <c r="M90" t="str">
        <f t="shared" si="4"/>
        <v>Friday</v>
      </c>
    </row>
    <row r="91" spans="1:13" x14ac:dyDescent="0.3">
      <c r="A91" s="4">
        <f t="shared" si="3"/>
        <v>46171</v>
      </c>
      <c r="B91">
        <v>29</v>
      </c>
      <c r="C91" t="s">
        <v>207</v>
      </c>
      <c r="D91" cm="1">
        <f t="array" ref="D91">_xlfn.SWITCH(C91, "JAN", 1, "FEB", 2, "MAR", 3, "APR", 4,"MAY", 5, "JUN",6, "JUL", 7, "AUG", 8, "SEP", 9, "OCT", 10, "NOV", 11, "DEC", 12, "NO")</f>
        <v>5</v>
      </c>
      <c r="E91">
        <v>2026</v>
      </c>
      <c r="F91" t="s">
        <v>96</v>
      </c>
      <c r="G91">
        <f t="shared" si="5"/>
        <v>18</v>
      </c>
      <c r="H91">
        <v>2</v>
      </c>
      <c r="I91" t="s">
        <v>12</v>
      </c>
      <c r="J91">
        <v>1000</v>
      </c>
      <c r="K91" t="s">
        <v>272</v>
      </c>
      <c r="L91" t="s">
        <v>273</v>
      </c>
      <c r="M91" t="str">
        <f t="shared" si="4"/>
        <v>Friday</v>
      </c>
    </row>
    <row r="92" spans="1:13" x14ac:dyDescent="0.3">
      <c r="A92" s="4">
        <f t="shared" si="3"/>
        <v>46171</v>
      </c>
      <c r="B92">
        <v>29</v>
      </c>
      <c r="C92" t="s">
        <v>207</v>
      </c>
      <c r="D92" cm="1">
        <f t="array" ref="D92">_xlfn.SWITCH(C92, "JAN", 1, "FEB", 2, "MAR", 3, "APR", 4,"MAY", 5, "JUN",6, "JUL", 7, "AUG", 8, "SEP", 9, "OCT", 10, "NOV", 11, "DEC", 12, "NO")</f>
        <v>5</v>
      </c>
      <c r="E92">
        <v>2026</v>
      </c>
      <c r="F92" t="s">
        <v>274</v>
      </c>
      <c r="G92">
        <f t="shared" si="5"/>
        <v>17</v>
      </c>
      <c r="H92">
        <v>56</v>
      </c>
      <c r="I92" t="s">
        <v>12</v>
      </c>
      <c r="J92">
        <v>980</v>
      </c>
      <c r="K92" t="s">
        <v>275</v>
      </c>
      <c r="L92" t="s">
        <v>276</v>
      </c>
      <c r="M92" t="str">
        <f t="shared" si="4"/>
        <v>Friday</v>
      </c>
    </row>
    <row r="93" spans="1:13" x14ac:dyDescent="0.3">
      <c r="A93" s="4">
        <f t="shared" si="3"/>
        <v>46171</v>
      </c>
      <c r="B93">
        <v>29</v>
      </c>
      <c r="C93" t="s">
        <v>207</v>
      </c>
      <c r="D93" cm="1">
        <f t="array" ref="D93">_xlfn.SWITCH(C93, "JAN", 1, "FEB", 2, "MAR", 3, "APR", 4,"MAY", 5, "JUN",6, "JUL", 7, "AUG", 8, "SEP", 9, "OCT", 10, "NOV", 11, "DEC", 12, "NO")</f>
        <v>5</v>
      </c>
      <c r="E93">
        <v>2026</v>
      </c>
      <c r="F93" t="s">
        <v>277</v>
      </c>
      <c r="G93">
        <f t="shared" si="5"/>
        <v>17</v>
      </c>
      <c r="H93">
        <v>30</v>
      </c>
      <c r="I93" t="s">
        <v>12</v>
      </c>
      <c r="J93">
        <v>1000</v>
      </c>
      <c r="K93" t="s">
        <v>278</v>
      </c>
      <c r="L93" t="s">
        <v>279</v>
      </c>
      <c r="M93" t="str">
        <f t="shared" si="4"/>
        <v>Friday</v>
      </c>
    </row>
    <row r="94" spans="1:13" x14ac:dyDescent="0.3">
      <c r="A94" s="4">
        <f t="shared" si="3"/>
        <v>46171</v>
      </c>
      <c r="B94">
        <v>29</v>
      </c>
      <c r="C94" t="s">
        <v>207</v>
      </c>
      <c r="D94" cm="1">
        <f t="array" ref="D94">_xlfn.SWITCH(C94, "JAN", 1, "FEB", 2, "MAR", 3, "APR", 4,"MAY", 5, "JUN",6, "JUL", 7, "AUG", 8, "SEP", 9, "OCT", 10, "NOV", 11, "DEC", 12, "NO")</f>
        <v>5</v>
      </c>
      <c r="E94">
        <v>2026</v>
      </c>
      <c r="F94" t="s">
        <v>280</v>
      </c>
      <c r="G94">
        <f t="shared" si="5"/>
        <v>17</v>
      </c>
      <c r="H94">
        <v>17</v>
      </c>
      <c r="I94" t="s">
        <v>12</v>
      </c>
      <c r="J94">
        <v>1000</v>
      </c>
      <c r="K94" t="s">
        <v>281</v>
      </c>
      <c r="L94" t="s">
        <v>282</v>
      </c>
      <c r="M94" t="str">
        <f t="shared" si="4"/>
        <v>Friday</v>
      </c>
    </row>
    <row r="95" spans="1:13" x14ac:dyDescent="0.3">
      <c r="A95" s="4">
        <f t="shared" si="3"/>
        <v>46171</v>
      </c>
      <c r="B95">
        <v>29</v>
      </c>
      <c r="C95" t="s">
        <v>207</v>
      </c>
      <c r="D95" cm="1">
        <f t="array" ref="D95">_xlfn.SWITCH(C95, "JAN", 1, "FEB", 2, "MAR", 3, "APR", 4,"MAY", 5, "JUN",6, "JUL", 7, "AUG", 8, "SEP", 9, "OCT", 10, "NOV", 11, "DEC", 12, "NO")</f>
        <v>5</v>
      </c>
      <c r="E95">
        <v>2026</v>
      </c>
      <c r="F95" t="s">
        <v>283</v>
      </c>
      <c r="G95">
        <f t="shared" si="5"/>
        <v>16</v>
      </c>
      <c r="H95">
        <v>58</v>
      </c>
      <c r="I95" t="s">
        <v>12</v>
      </c>
      <c r="J95">
        <v>1000</v>
      </c>
      <c r="K95" t="s">
        <v>284</v>
      </c>
      <c r="L95" t="s">
        <v>285</v>
      </c>
      <c r="M95" t="str">
        <f t="shared" si="4"/>
        <v>Friday</v>
      </c>
    </row>
    <row r="96" spans="1:13" x14ac:dyDescent="0.3">
      <c r="A96" s="4">
        <f t="shared" si="3"/>
        <v>46171</v>
      </c>
      <c r="B96">
        <v>29</v>
      </c>
      <c r="C96" t="s">
        <v>207</v>
      </c>
      <c r="D96" cm="1">
        <f t="array" ref="D96">_xlfn.SWITCH(C96, "JAN", 1, "FEB", 2, "MAR", 3, "APR", 4,"MAY", 5, "JUN",6, "JUL", 7, "AUG", 8, "SEP", 9, "OCT", 10, "NOV", 11, "DEC", 12, "NO")</f>
        <v>5</v>
      </c>
      <c r="E96">
        <v>2026</v>
      </c>
      <c r="F96" t="s">
        <v>286</v>
      </c>
      <c r="G96">
        <f t="shared" si="5"/>
        <v>10</v>
      </c>
      <c r="H96">
        <v>34</v>
      </c>
      <c r="I96" t="s">
        <v>12</v>
      </c>
      <c r="J96">
        <v>2500</v>
      </c>
      <c r="K96" t="s">
        <v>287</v>
      </c>
      <c r="L96" t="s">
        <v>288</v>
      </c>
      <c r="M96" t="str">
        <f t="shared" si="4"/>
        <v>Friday</v>
      </c>
    </row>
    <row r="97" spans="1:13" x14ac:dyDescent="0.3">
      <c r="A97" s="4">
        <f t="shared" si="3"/>
        <v>46170</v>
      </c>
      <c r="B97">
        <v>28</v>
      </c>
      <c r="C97" t="s">
        <v>207</v>
      </c>
      <c r="D97" cm="1">
        <f t="array" ref="D97">_xlfn.SWITCH(C97, "JAN", 1, "FEB", 2, "MAR", 3, "APR", 4,"MAY", 5, "JUN",6, "JUL", 7, "AUG", 8, "SEP", 9, "OCT", 10, "NOV", 11, "DEC", 12, "NO")</f>
        <v>5</v>
      </c>
      <c r="E97">
        <v>2026</v>
      </c>
      <c r="F97" t="s">
        <v>289</v>
      </c>
      <c r="G97">
        <f t="shared" si="5"/>
        <v>19</v>
      </c>
      <c r="H97">
        <v>56</v>
      </c>
      <c r="I97" t="s">
        <v>12</v>
      </c>
      <c r="J97">
        <v>1050</v>
      </c>
      <c r="K97" t="s">
        <v>290</v>
      </c>
      <c r="L97" t="s">
        <v>291</v>
      </c>
      <c r="M97" t="str">
        <f t="shared" si="4"/>
        <v>Thursday</v>
      </c>
    </row>
    <row r="98" spans="1:13" x14ac:dyDescent="0.3">
      <c r="A98" s="4">
        <f t="shared" si="3"/>
        <v>46170</v>
      </c>
      <c r="B98">
        <v>28</v>
      </c>
      <c r="C98" t="s">
        <v>207</v>
      </c>
      <c r="D98" cm="1">
        <f t="array" ref="D98">_xlfn.SWITCH(C98, "JAN", 1, "FEB", 2, "MAR", 3, "APR", 4,"MAY", 5, "JUN",6, "JUL", 7, "AUG", 8, "SEP", 9, "OCT", 10, "NOV", 11, "DEC", 12, "NO")</f>
        <v>5</v>
      </c>
      <c r="E98">
        <v>2026</v>
      </c>
      <c r="F98" t="s">
        <v>289</v>
      </c>
      <c r="G98">
        <f t="shared" si="5"/>
        <v>19</v>
      </c>
      <c r="H98">
        <v>56</v>
      </c>
      <c r="I98" t="s">
        <v>84</v>
      </c>
      <c r="J98">
        <v>1047</v>
      </c>
      <c r="K98" t="s">
        <v>292</v>
      </c>
      <c r="L98" t="s">
        <v>293</v>
      </c>
      <c r="M98" t="str">
        <f t="shared" si="4"/>
        <v>Thursday</v>
      </c>
    </row>
    <row r="99" spans="1:13" x14ac:dyDescent="0.3">
      <c r="A99" s="4">
        <f t="shared" si="3"/>
        <v>46169</v>
      </c>
      <c r="B99">
        <v>27</v>
      </c>
      <c r="C99" t="s">
        <v>207</v>
      </c>
      <c r="D99" cm="1">
        <f t="array" ref="D99">_xlfn.SWITCH(C99, "JAN", 1, "FEB", 2, "MAR", 3, "APR", 4,"MAY", 5, "JUN",6, "JUL", 7, "AUG", 8, "SEP", 9, "OCT", 10, "NOV", 11, "DEC", 12, "NO")</f>
        <v>5</v>
      </c>
      <c r="E99">
        <v>2026</v>
      </c>
      <c r="F99" t="s">
        <v>294</v>
      </c>
      <c r="G99">
        <f t="shared" si="5"/>
        <v>17</v>
      </c>
      <c r="H99">
        <v>33</v>
      </c>
      <c r="I99" t="s">
        <v>84</v>
      </c>
      <c r="J99">
        <v>102</v>
      </c>
      <c r="K99" t="s">
        <v>295</v>
      </c>
      <c r="L99" t="s">
        <v>296</v>
      </c>
      <c r="M99" t="str">
        <f t="shared" si="4"/>
        <v>Wednesday</v>
      </c>
    </row>
    <row r="100" spans="1:13" x14ac:dyDescent="0.3">
      <c r="A100" s="4">
        <f t="shared" si="3"/>
        <v>46168</v>
      </c>
      <c r="B100">
        <v>26</v>
      </c>
      <c r="C100" t="s">
        <v>207</v>
      </c>
      <c r="D100" cm="1">
        <f t="array" ref="D100">_xlfn.SWITCH(C100, "JAN", 1, "FEB", 2, "MAR", 3, "APR", 4,"MAY", 5, "JUN",6, "JUL", 7, "AUG", 8, "SEP", 9, "OCT", 10, "NOV", 11, "DEC", 12, "NO")</f>
        <v>5</v>
      </c>
      <c r="E100">
        <v>2026</v>
      </c>
      <c r="F100" t="s">
        <v>297</v>
      </c>
      <c r="G100">
        <f t="shared" si="5"/>
        <v>20</v>
      </c>
      <c r="H100">
        <v>45</v>
      </c>
      <c r="I100" t="s">
        <v>84</v>
      </c>
      <c r="J100">
        <v>18335</v>
      </c>
      <c r="K100" t="s">
        <v>298</v>
      </c>
      <c r="L100" t="s">
        <v>299</v>
      </c>
      <c r="M100" t="str">
        <f t="shared" si="4"/>
        <v>Tuesday</v>
      </c>
    </row>
    <row r="101" spans="1:13" x14ac:dyDescent="0.3">
      <c r="A101" s="4">
        <f t="shared" si="3"/>
        <v>46168</v>
      </c>
      <c r="B101">
        <v>26</v>
      </c>
      <c r="C101" t="s">
        <v>207</v>
      </c>
      <c r="D101" cm="1">
        <f t="array" ref="D101">_xlfn.SWITCH(C101, "JAN", 1, "FEB", 2, "MAR", 3, "APR", 4,"MAY", 5, "JUN",6, "JUL", 7, "AUG", 8, "SEP", 9, "OCT", 10, "NOV", 11, "DEC", 12, "NO")</f>
        <v>5</v>
      </c>
      <c r="E101">
        <v>2026</v>
      </c>
      <c r="F101" t="s">
        <v>300</v>
      </c>
      <c r="G101">
        <f t="shared" si="5"/>
        <v>19</v>
      </c>
      <c r="H101">
        <v>54</v>
      </c>
      <c r="I101" t="s">
        <v>12</v>
      </c>
      <c r="J101">
        <v>1000</v>
      </c>
      <c r="K101" t="s">
        <v>301</v>
      </c>
      <c r="L101" t="s">
        <v>302</v>
      </c>
      <c r="M101" t="str">
        <f t="shared" si="4"/>
        <v>Tuesday</v>
      </c>
    </row>
    <row r="102" spans="1:13" x14ac:dyDescent="0.3">
      <c r="A102" s="4">
        <f t="shared" si="3"/>
        <v>46168</v>
      </c>
      <c r="B102">
        <v>26</v>
      </c>
      <c r="C102" t="s">
        <v>207</v>
      </c>
      <c r="D102" cm="1">
        <f t="array" ref="D102">_xlfn.SWITCH(C102, "JAN", 1, "FEB", 2, "MAR", 3, "APR", 4,"MAY", 5, "JUN",6, "JUL", 7, "AUG", 8, "SEP", 9, "OCT", 10, "NOV", 11, "DEC", 12, "NO")</f>
        <v>5</v>
      </c>
      <c r="E102">
        <v>2026</v>
      </c>
      <c r="F102" t="s">
        <v>303</v>
      </c>
      <c r="G102">
        <f t="shared" si="5"/>
        <v>19</v>
      </c>
      <c r="H102">
        <v>49</v>
      </c>
      <c r="I102" t="s">
        <v>12</v>
      </c>
      <c r="J102">
        <v>1000</v>
      </c>
      <c r="K102" t="s">
        <v>304</v>
      </c>
      <c r="L102" t="s">
        <v>305</v>
      </c>
      <c r="M102" t="str">
        <f t="shared" si="4"/>
        <v>Tuesday</v>
      </c>
    </row>
    <row r="103" spans="1:13" x14ac:dyDescent="0.3">
      <c r="A103" s="4">
        <f t="shared" si="3"/>
        <v>46168</v>
      </c>
      <c r="B103">
        <v>26</v>
      </c>
      <c r="C103" t="s">
        <v>207</v>
      </c>
      <c r="D103" cm="1">
        <f t="array" ref="D103">_xlfn.SWITCH(C103, "JAN", 1, "FEB", 2, "MAR", 3, "APR", 4,"MAY", 5, "JUN",6, "JUL", 7, "AUG", 8, "SEP", 9, "OCT", 10, "NOV", 11, "DEC", 12, "NO")</f>
        <v>5</v>
      </c>
      <c r="E103">
        <v>2026</v>
      </c>
      <c r="F103" t="s">
        <v>306</v>
      </c>
      <c r="G103">
        <f t="shared" si="5"/>
        <v>19</v>
      </c>
      <c r="H103">
        <v>12</v>
      </c>
      <c r="I103" t="s">
        <v>12</v>
      </c>
      <c r="J103">
        <v>30</v>
      </c>
      <c r="K103" t="s">
        <v>307</v>
      </c>
      <c r="L103" t="s">
        <v>308</v>
      </c>
      <c r="M103" t="str">
        <f t="shared" si="4"/>
        <v>Tuesday</v>
      </c>
    </row>
    <row r="104" spans="1:13" x14ac:dyDescent="0.3">
      <c r="A104" s="4">
        <f t="shared" si="3"/>
        <v>46168</v>
      </c>
      <c r="B104">
        <v>26</v>
      </c>
      <c r="C104" t="s">
        <v>207</v>
      </c>
      <c r="D104" cm="1">
        <f t="array" ref="D104">_xlfn.SWITCH(C104, "JAN", 1, "FEB", 2, "MAR", 3, "APR", 4,"MAY", 5, "JUN",6, "JUL", 7, "AUG", 8, "SEP", 9, "OCT", 10, "NOV", 11, "DEC", 12, "NO")</f>
        <v>5</v>
      </c>
      <c r="E104">
        <v>2026</v>
      </c>
      <c r="F104" t="s">
        <v>309</v>
      </c>
      <c r="G104">
        <f t="shared" si="5"/>
        <v>18</v>
      </c>
      <c r="H104">
        <v>25</v>
      </c>
      <c r="I104" t="s">
        <v>12</v>
      </c>
      <c r="J104">
        <v>1000</v>
      </c>
      <c r="K104" t="s">
        <v>310</v>
      </c>
      <c r="L104" t="s">
        <v>311</v>
      </c>
      <c r="M104" t="str">
        <f t="shared" si="4"/>
        <v>Tuesday</v>
      </c>
    </row>
    <row r="105" spans="1:13" x14ac:dyDescent="0.3">
      <c r="A105" s="4">
        <f t="shared" si="3"/>
        <v>46168</v>
      </c>
      <c r="B105">
        <v>26</v>
      </c>
      <c r="C105" t="s">
        <v>207</v>
      </c>
      <c r="D105" cm="1">
        <f t="array" ref="D105">_xlfn.SWITCH(C105, "JAN", 1, "FEB", 2, "MAR", 3, "APR", 4,"MAY", 5, "JUN",6, "JUL", 7, "AUG", 8, "SEP", 9, "OCT", 10, "NOV", 11, "DEC", 12, "NO")</f>
        <v>5</v>
      </c>
      <c r="E105">
        <v>2026</v>
      </c>
      <c r="F105" t="s">
        <v>312</v>
      </c>
      <c r="G105">
        <f t="shared" si="5"/>
        <v>18</v>
      </c>
      <c r="H105">
        <v>24</v>
      </c>
      <c r="I105" t="s">
        <v>12</v>
      </c>
      <c r="J105">
        <v>2500</v>
      </c>
      <c r="K105" t="s">
        <v>313</v>
      </c>
      <c r="L105" t="s">
        <v>314</v>
      </c>
      <c r="M105" t="str">
        <f t="shared" si="4"/>
        <v>Tuesday</v>
      </c>
    </row>
    <row r="106" spans="1:13" x14ac:dyDescent="0.3">
      <c r="A106" s="4">
        <f t="shared" si="3"/>
        <v>46168</v>
      </c>
      <c r="B106">
        <v>26</v>
      </c>
      <c r="C106" t="s">
        <v>207</v>
      </c>
      <c r="D106" cm="1">
        <f t="array" ref="D106">_xlfn.SWITCH(C106, "JAN", 1, "FEB", 2, "MAR", 3, "APR", 4,"MAY", 5, "JUN",6, "JUL", 7, "AUG", 8, "SEP", 9, "OCT", 10, "NOV", 11, "DEC", 12, "NO")</f>
        <v>5</v>
      </c>
      <c r="E106">
        <v>2026</v>
      </c>
      <c r="F106" t="s">
        <v>315</v>
      </c>
      <c r="G106">
        <f t="shared" si="5"/>
        <v>18</v>
      </c>
      <c r="H106">
        <v>10</v>
      </c>
      <c r="I106" t="s">
        <v>12</v>
      </c>
      <c r="J106">
        <v>1000</v>
      </c>
      <c r="K106" t="s">
        <v>316</v>
      </c>
      <c r="L106" t="s">
        <v>317</v>
      </c>
      <c r="M106" t="str">
        <f t="shared" si="4"/>
        <v>Tuesday</v>
      </c>
    </row>
    <row r="107" spans="1:13" x14ac:dyDescent="0.3">
      <c r="A107" s="4">
        <f t="shared" si="3"/>
        <v>46168</v>
      </c>
      <c r="B107">
        <v>26</v>
      </c>
      <c r="C107" t="s">
        <v>207</v>
      </c>
      <c r="D107" cm="1">
        <f t="array" ref="D107">_xlfn.SWITCH(C107, "JAN", 1, "FEB", 2, "MAR", 3, "APR", 4,"MAY", 5, "JUN",6, "JUL", 7, "AUG", 8, "SEP", 9, "OCT", 10, "NOV", 11, "DEC", 12, "NO")</f>
        <v>5</v>
      </c>
      <c r="E107">
        <v>2026</v>
      </c>
      <c r="F107" t="s">
        <v>96</v>
      </c>
      <c r="G107">
        <f t="shared" si="5"/>
        <v>18</v>
      </c>
      <c r="H107">
        <v>2</v>
      </c>
      <c r="I107" t="s">
        <v>12</v>
      </c>
      <c r="J107">
        <v>1000</v>
      </c>
      <c r="K107" t="s">
        <v>318</v>
      </c>
      <c r="L107" t="s">
        <v>319</v>
      </c>
      <c r="M107" t="str">
        <f t="shared" si="4"/>
        <v>Tuesday</v>
      </c>
    </row>
    <row r="108" spans="1:13" x14ac:dyDescent="0.3">
      <c r="A108" s="4">
        <f t="shared" si="3"/>
        <v>46168</v>
      </c>
      <c r="B108">
        <v>26</v>
      </c>
      <c r="C108" t="s">
        <v>207</v>
      </c>
      <c r="D108" cm="1">
        <f t="array" ref="D108">_xlfn.SWITCH(C108, "JAN", 1, "FEB", 2, "MAR", 3, "APR", 4,"MAY", 5, "JUN",6, "JUL", 7, "AUG", 8, "SEP", 9, "OCT", 10, "NOV", 11, "DEC", 12, "NO")</f>
        <v>5</v>
      </c>
      <c r="E108">
        <v>2026</v>
      </c>
      <c r="F108" t="s">
        <v>320</v>
      </c>
      <c r="G108">
        <f t="shared" si="5"/>
        <v>17</v>
      </c>
      <c r="H108">
        <v>42</v>
      </c>
      <c r="I108" t="s">
        <v>12</v>
      </c>
      <c r="J108">
        <v>1000</v>
      </c>
      <c r="K108" t="s">
        <v>321</v>
      </c>
      <c r="L108" t="s">
        <v>322</v>
      </c>
      <c r="M108" t="str">
        <f t="shared" si="4"/>
        <v>Tuesday</v>
      </c>
    </row>
    <row r="109" spans="1:13" x14ac:dyDescent="0.3">
      <c r="A109" s="4">
        <f t="shared" si="3"/>
        <v>46168</v>
      </c>
      <c r="B109">
        <v>26</v>
      </c>
      <c r="C109" t="s">
        <v>207</v>
      </c>
      <c r="D109" cm="1">
        <f t="array" ref="D109">_xlfn.SWITCH(C109, "JAN", 1, "FEB", 2, "MAR", 3, "APR", 4,"MAY", 5, "JUN",6, "JUL", 7, "AUG", 8, "SEP", 9, "OCT", 10, "NOV", 11, "DEC", 12, "NO")</f>
        <v>5</v>
      </c>
      <c r="E109">
        <v>2026</v>
      </c>
      <c r="F109" t="s">
        <v>277</v>
      </c>
      <c r="G109">
        <f t="shared" si="5"/>
        <v>17</v>
      </c>
      <c r="H109">
        <v>30</v>
      </c>
      <c r="I109" t="s">
        <v>12</v>
      </c>
      <c r="J109">
        <v>1000</v>
      </c>
      <c r="K109" t="s">
        <v>323</v>
      </c>
      <c r="L109" t="s">
        <v>324</v>
      </c>
      <c r="M109" t="str">
        <f t="shared" si="4"/>
        <v>Tuesday</v>
      </c>
    </row>
    <row r="110" spans="1:13" x14ac:dyDescent="0.3">
      <c r="A110" s="4">
        <f t="shared" si="3"/>
        <v>46168</v>
      </c>
      <c r="B110">
        <v>26</v>
      </c>
      <c r="C110" t="s">
        <v>207</v>
      </c>
      <c r="D110" cm="1">
        <f t="array" ref="D110">_xlfn.SWITCH(C110, "JAN", 1, "FEB", 2, "MAR", 3, "APR", 4,"MAY", 5, "JUN",6, "JUL", 7, "AUG", 8, "SEP", 9, "OCT", 10, "NOV", 11, "DEC", 12, "NO")</f>
        <v>5</v>
      </c>
      <c r="E110">
        <v>2026</v>
      </c>
      <c r="F110" t="s">
        <v>325</v>
      </c>
      <c r="G110">
        <f t="shared" si="5"/>
        <v>17</v>
      </c>
      <c r="H110">
        <v>25</v>
      </c>
      <c r="I110" t="s">
        <v>12</v>
      </c>
      <c r="J110">
        <v>1000</v>
      </c>
      <c r="K110" t="s">
        <v>326</v>
      </c>
      <c r="L110" t="s">
        <v>327</v>
      </c>
      <c r="M110" t="str">
        <f t="shared" si="4"/>
        <v>Tuesday</v>
      </c>
    </row>
    <row r="111" spans="1:13" x14ac:dyDescent="0.3">
      <c r="A111" s="4">
        <f t="shared" si="3"/>
        <v>46168</v>
      </c>
      <c r="B111">
        <v>26</v>
      </c>
      <c r="C111" t="s">
        <v>207</v>
      </c>
      <c r="D111" cm="1">
        <f t="array" ref="D111">_xlfn.SWITCH(C111, "JAN", 1, "FEB", 2, "MAR", 3, "APR", 4,"MAY", 5, "JUN",6, "JUL", 7, "AUG", 8, "SEP", 9, "OCT", 10, "NOV", 11, "DEC", 12, "NO")</f>
        <v>5</v>
      </c>
      <c r="E111">
        <v>2026</v>
      </c>
      <c r="F111" t="s">
        <v>328</v>
      </c>
      <c r="G111">
        <f t="shared" si="5"/>
        <v>17</v>
      </c>
      <c r="H111">
        <v>22</v>
      </c>
      <c r="I111" t="s">
        <v>84</v>
      </c>
      <c r="J111">
        <v>4000</v>
      </c>
      <c r="K111" t="s">
        <v>329</v>
      </c>
      <c r="L111" t="s">
        <v>330</v>
      </c>
      <c r="M111" t="str">
        <f t="shared" si="4"/>
        <v>Tuesday</v>
      </c>
    </row>
    <row r="112" spans="1:13" x14ac:dyDescent="0.3">
      <c r="A112" s="4">
        <f t="shared" si="3"/>
        <v>46168</v>
      </c>
      <c r="B112">
        <v>26</v>
      </c>
      <c r="C112" t="s">
        <v>207</v>
      </c>
      <c r="D112" cm="1">
        <f t="array" ref="D112">_xlfn.SWITCH(C112, "JAN", 1, "FEB", 2, "MAR", 3, "APR", 4,"MAY", 5, "JUN",6, "JUL", 7, "AUG", 8, "SEP", 9, "OCT", 10, "NOV", 11, "DEC", 12, "NO")</f>
        <v>5</v>
      </c>
      <c r="E112">
        <v>2026</v>
      </c>
      <c r="F112" t="s">
        <v>331</v>
      </c>
      <c r="G112">
        <f t="shared" si="5"/>
        <v>17</v>
      </c>
      <c r="H112">
        <v>8</v>
      </c>
      <c r="I112" t="s">
        <v>12</v>
      </c>
      <c r="J112">
        <v>1000</v>
      </c>
      <c r="K112" t="s">
        <v>332</v>
      </c>
      <c r="L112" t="s">
        <v>333</v>
      </c>
      <c r="M112" t="str">
        <f t="shared" si="4"/>
        <v>Tuesday</v>
      </c>
    </row>
    <row r="113" spans="1:13" x14ac:dyDescent="0.3">
      <c r="A113" s="4">
        <f t="shared" si="3"/>
        <v>46168</v>
      </c>
      <c r="B113">
        <v>26</v>
      </c>
      <c r="C113" t="s">
        <v>207</v>
      </c>
      <c r="D113" cm="1">
        <f t="array" ref="D113">_xlfn.SWITCH(C113, "JAN", 1, "FEB", 2, "MAR", 3, "APR", 4,"MAY", 5, "JUN",6, "JUL", 7, "AUG", 8, "SEP", 9, "OCT", 10, "NOV", 11, "DEC", 12, "NO")</f>
        <v>5</v>
      </c>
      <c r="E113">
        <v>2026</v>
      </c>
      <c r="F113" t="s">
        <v>334</v>
      </c>
      <c r="G113">
        <f t="shared" si="5"/>
        <v>16</v>
      </c>
      <c r="H113">
        <v>49</v>
      </c>
      <c r="I113" t="s">
        <v>12</v>
      </c>
      <c r="J113">
        <v>1000</v>
      </c>
      <c r="K113" t="s">
        <v>335</v>
      </c>
      <c r="L113" t="s">
        <v>336</v>
      </c>
      <c r="M113" t="str">
        <f t="shared" si="4"/>
        <v>Tuesday</v>
      </c>
    </row>
    <row r="114" spans="1:13" x14ac:dyDescent="0.3">
      <c r="A114" s="4">
        <f t="shared" si="3"/>
        <v>46168</v>
      </c>
      <c r="B114">
        <v>26</v>
      </c>
      <c r="C114" t="s">
        <v>207</v>
      </c>
      <c r="D114" cm="1">
        <f t="array" ref="D114">_xlfn.SWITCH(C114, "JAN", 1, "FEB", 2, "MAR", 3, "APR", 4,"MAY", 5, "JUN",6, "JUL", 7, "AUG", 8, "SEP", 9, "OCT", 10, "NOV", 11, "DEC", 12, "NO")</f>
        <v>5</v>
      </c>
      <c r="E114">
        <v>2026</v>
      </c>
      <c r="F114" t="s">
        <v>337</v>
      </c>
      <c r="G114">
        <f t="shared" si="5"/>
        <v>16</v>
      </c>
      <c r="H114">
        <v>39</v>
      </c>
      <c r="I114" t="s">
        <v>12</v>
      </c>
      <c r="J114">
        <v>1000</v>
      </c>
      <c r="K114" t="s">
        <v>338</v>
      </c>
      <c r="L114" t="s">
        <v>339</v>
      </c>
      <c r="M114" t="str">
        <f t="shared" si="4"/>
        <v>Tuesday</v>
      </c>
    </row>
    <row r="115" spans="1:13" x14ac:dyDescent="0.3">
      <c r="A115" s="4">
        <f t="shared" si="3"/>
        <v>46168</v>
      </c>
      <c r="B115">
        <v>26</v>
      </c>
      <c r="C115" t="s">
        <v>207</v>
      </c>
      <c r="D115" cm="1">
        <f t="array" ref="D115">_xlfn.SWITCH(C115, "JAN", 1, "FEB", 2, "MAR", 3, "APR", 4,"MAY", 5, "JUN",6, "JUL", 7, "AUG", 8, "SEP", 9, "OCT", 10, "NOV", 11, "DEC", 12, "NO")</f>
        <v>5</v>
      </c>
      <c r="E115">
        <v>2026</v>
      </c>
      <c r="F115" t="s">
        <v>340</v>
      </c>
      <c r="G115">
        <f t="shared" si="5"/>
        <v>16</v>
      </c>
      <c r="H115">
        <v>29</v>
      </c>
      <c r="I115" t="s">
        <v>12</v>
      </c>
      <c r="J115">
        <v>1000</v>
      </c>
      <c r="K115" t="s">
        <v>341</v>
      </c>
      <c r="L115" t="s">
        <v>342</v>
      </c>
      <c r="M115" t="str">
        <f t="shared" si="4"/>
        <v>Tuesday</v>
      </c>
    </row>
    <row r="116" spans="1:13" x14ac:dyDescent="0.3">
      <c r="A116" s="4">
        <f t="shared" si="3"/>
        <v>46168</v>
      </c>
      <c r="B116">
        <v>26</v>
      </c>
      <c r="C116" t="s">
        <v>207</v>
      </c>
      <c r="D116" cm="1">
        <f t="array" ref="D116">_xlfn.SWITCH(C116, "JAN", 1, "FEB", 2, "MAR", 3, "APR", 4,"MAY", 5, "JUN",6, "JUL", 7, "AUG", 8, "SEP", 9, "OCT", 10, "NOV", 11, "DEC", 12, "NO")</f>
        <v>5</v>
      </c>
      <c r="E116">
        <v>2026</v>
      </c>
      <c r="F116" t="s">
        <v>340</v>
      </c>
      <c r="G116">
        <f t="shared" si="5"/>
        <v>16</v>
      </c>
      <c r="H116">
        <v>29</v>
      </c>
      <c r="I116" t="s">
        <v>12</v>
      </c>
      <c r="J116">
        <v>35</v>
      </c>
      <c r="K116" t="s">
        <v>343</v>
      </c>
      <c r="L116" t="s">
        <v>344</v>
      </c>
      <c r="M116" t="str">
        <f t="shared" si="4"/>
        <v>Tuesday</v>
      </c>
    </row>
    <row r="117" spans="1:13" x14ac:dyDescent="0.3">
      <c r="A117" s="4">
        <f t="shared" si="3"/>
        <v>46168</v>
      </c>
      <c r="B117">
        <v>26</v>
      </c>
      <c r="C117" t="s">
        <v>207</v>
      </c>
      <c r="D117" cm="1">
        <f t="array" ref="D117">_xlfn.SWITCH(C117, "JAN", 1, "FEB", 2, "MAR", 3, "APR", 4,"MAY", 5, "JUN",6, "JUL", 7, "AUG", 8, "SEP", 9, "OCT", 10, "NOV", 11, "DEC", 12, "NO")</f>
        <v>5</v>
      </c>
      <c r="E117">
        <v>2026</v>
      </c>
      <c r="F117" t="s">
        <v>345</v>
      </c>
      <c r="G117">
        <f t="shared" si="5"/>
        <v>16</v>
      </c>
      <c r="H117">
        <v>28</v>
      </c>
      <c r="I117" t="s">
        <v>12</v>
      </c>
      <c r="J117">
        <v>965</v>
      </c>
      <c r="K117" t="s">
        <v>346</v>
      </c>
      <c r="L117" t="s">
        <v>347</v>
      </c>
      <c r="M117" t="str">
        <f t="shared" si="4"/>
        <v>Tuesday</v>
      </c>
    </row>
    <row r="118" spans="1:13" x14ac:dyDescent="0.3">
      <c r="A118" s="4">
        <f t="shared" si="3"/>
        <v>46168</v>
      </c>
      <c r="B118">
        <v>26</v>
      </c>
      <c r="C118" t="s">
        <v>207</v>
      </c>
      <c r="D118" cm="1">
        <f t="array" ref="D118">_xlfn.SWITCH(C118, "JAN", 1, "FEB", 2, "MAR", 3, "APR", 4,"MAY", 5, "JUN",6, "JUL", 7, "AUG", 8, "SEP", 9, "OCT", 10, "NOV", 11, "DEC", 12, "NO")</f>
        <v>5</v>
      </c>
      <c r="E118">
        <v>2026</v>
      </c>
      <c r="F118" t="s">
        <v>348</v>
      </c>
      <c r="G118">
        <f t="shared" si="5"/>
        <v>15</v>
      </c>
      <c r="H118">
        <v>50</v>
      </c>
      <c r="I118" t="s">
        <v>12</v>
      </c>
      <c r="J118">
        <v>1000</v>
      </c>
      <c r="K118" t="s">
        <v>349</v>
      </c>
      <c r="L118" t="s">
        <v>350</v>
      </c>
      <c r="M118" t="str">
        <f t="shared" si="4"/>
        <v>Tuesday</v>
      </c>
    </row>
    <row r="119" spans="1:13" x14ac:dyDescent="0.3">
      <c r="A119" s="4">
        <f t="shared" si="3"/>
        <v>46168</v>
      </c>
      <c r="B119">
        <v>26</v>
      </c>
      <c r="C119" t="s">
        <v>207</v>
      </c>
      <c r="D119" cm="1">
        <f t="array" ref="D119">_xlfn.SWITCH(C119, "JAN", 1, "FEB", 2, "MAR", 3, "APR", 4,"MAY", 5, "JUN",6, "JUL", 7, "AUG", 8, "SEP", 9, "OCT", 10, "NOV", 11, "DEC", 12, "NO")</f>
        <v>5</v>
      </c>
      <c r="E119">
        <v>2026</v>
      </c>
      <c r="F119" t="s">
        <v>135</v>
      </c>
      <c r="G119">
        <f t="shared" si="5"/>
        <v>15</v>
      </c>
      <c r="H119">
        <v>35</v>
      </c>
      <c r="I119" t="s">
        <v>12</v>
      </c>
      <c r="J119">
        <v>1000</v>
      </c>
      <c r="K119" t="s">
        <v>351</v>
      </c>
      <c r="L119" t="s">
        <v>352</v>
      </c>
      <c r="M119" t="str">
        <f t="shared" si="4"/>
        <v>Tuesday</v>
      </c>
    </row>
    <row r="120" spans="1:13" x14ac:dyDescent="0.3">
      <c r="A120" s="4">
        <f t="shared" si="3"/>
        <v>46168</v>
      </c>
      <c r="B120">
        <v>26</v>
      </c>
      <c r="C120" t="s">
        <v>207</v>
      </c>
      <c r="D120" cm="1">
        <f t="array" ref="D120">_xlfn.SWITCH(C120, "JAN", 1, "FEB", 2, "MAR", 3, "APR", 4,"MAY", 5, "JUN",6, "JUL", 7, "AUG", 8, "SEP", 9, "OCT", 10, "NOV", 11, "DEC", 12, "NO")</f>
        <v>5</v>
      </c>
      <c r="E120">
        <v>2026</v>
      </c>
      <c r="F120" t="s">
        <v>353</v>
      </c>
      <c r="G120">
        <f t="shared" si="5"/>
        <v>14</v>
      </c>
      <c r="H120">
        <v>55</v>
      </c>
      <c r="I120" t="s">
        <v>12</v>
      </c>
      <c r="J120">
        <v>1000</v>
      </c>
      <c r="K120" t="s">
        <v>354</v>
      </c>
      <c r="L120" t="s">
        <v>355</v>
      </c>
      <c r="M120" t="str">
        <f t="shared" si="4"/>
        <v>Tuesday</v>
      </c>
    </row>
    <row r="121" spans="1:13" x14ac:dyDescent="0.3">
      <c r="A121" s="4">
        <f t="shared" si="3"/>
        <v>46168</v>
      </c>
      <c r="B121">
        <v>26</v>
      </c>
      <c r="C121" t="s">
        <v>207</v>
      </c>
      <c r="D121" cm="1">
        <f t="array" ref="D121">_xlfn.SWITCH(C121, "JAN", 1, "FEB", 2, "MAR", 3, "APR", 4,"MAY", 5, "JUN",6, "JUL", 7, "AUG", 8, "SEP", 9, "OCT", 10, "NOV", 11, "DEC", 12, "NO")</f>
        <v>5</v>
      </c>
      <c r="E121">
        <v>2026</v>
      </c>
      <c r="F121" t="s">
        <v>356</v>
      </c>
      <c r="G121">
        <f t="shared" si="5"/>
        <v>14</v>
      </c>
      <c r="H121">
        <v>44</v>
      </c>
      <c r="I121" t="s">
        <v>12</v>
      </c>
      <c r="J121">
        <v>1000</v>
      </c>
      <c r="K121" t="s">
        <v>357</v>
      </c>
      <c r="L121" t="s">
        <v>358</v>
      </c>
      <c r="M121" t="str">
        <f t="shared" si="4"/>
        <v>Tuesday</v>
      </c>
    </row>
    <row r="122" spans="1:13" x14ac:dyDescent="0.3">
      <c r="A122" s="4">
        <f t="shared" si="3"/>
        <v>46168</v>
      </c>
      <c r="B122">
        <v>26</v>
      </c>
      <c r="C122" t="s">
        <v>207</v>
      </c>
      <c r="D122" cm="1">
        <f t="array" ref="D122">_xlfn.SWITCH(C122, "JAN", 1, "FEB", 2, "MAR", 3, "APR", 4,"MAY", 5, "JUN",6, "JUL", 7, "AUG", 8, "SEP", 9, "OCT", 10, "NOV", 11, "DEC", 12, "NO")</f>
        <v>5</v>
      </c>
      <c r="E122">
        <v>2026</v>
      </c>
      <c r="F122" t="s">
        <v>155</v>
      </c>
      <c r="G122">
        <f t="shared" si="5"/>
        <v>14</v>
      </c>
      <c r="H122">
        <v>22</v>
      </c>
      <c r="I122" t="s">
        <v>12</v>
      </c>
      <c r="J122">
        <v>1000</v>
      </c>
      <c r="K122" t="s">
        <v>359</v>
      </c>
      <c r="L122" t="s">
        <v>360</v>
      </c>
      <c r="M122" t="str">
        <f t="shared" si="4"/>
        <v>Tuesday</v>
      </c>
    </row>
    <row r="123" spans="1:13" x14ac:dyDescent="0.3">
      <c r="A123" s="4">
        <f t="shared" si="3"/>
        <v>46168</v>
      </c>
      <c r="B123">
        <v>26</v>
      </c>
      <c r="C123" t="s">
        <v>207</v>
      </c>
      <c r="D123" cm="1">
        <f t="array" ref="D123">_xlfn.SWITCH(C123, "JAN", 1, "FEB", 2, "MAR", 3, "APR", 4,"MAY", 5, "JUN",6, "JUL", 7, "AUG", 8, "SEP", 9, "OCT", 10, "NOV", 11, "DEC", 12, "NO")</f>
        <v>5</v>
      </c>
      <c r="E123">
        <v>2026</v>
      </c>
      <c r="F123" t="s">
        <v>361</v>
      </c>
      <c r="G123">
        <f t="shared" si="5"/>
        <v>14</v>
      </c>
      <c r="H123">
        <v>4</v>
      </c>
      <c r="I123" t="s">
        <v>12</v>
      </c>
      <c r="J123">
        <v>1000</v>
      </c>
      <c r="K123" t="s">
        <v>362</v>
      </c>
      <c r="L123" t="s">
        <v>363</v>
      </c>
      <c r="M123" t="str">
        <f t="shared" si="4"/>
        <v>Tuesday</v>
      </c>
    </row>
    <row r="124" spans="1:13" x14ac:dyDescent="0.3">
      <c r="A124" s="4">
        <f t="shared" si="3"/>
        <v>46168</v>
      </c>
      <c r="B124">
        <v>26</v>
      </c>
      <c r="C124" t="s">
        <v>207</v>
      </c>
      <c r="D124" cm="1">
        <f t="array" ref="D124">_xlfn.SWITCH(C124, "JAN", 1, "FEB", 2, "MAR", 3, "APR", 4,"MAY", 5, "JUN",6, "JUL", 7, "AUG", 8, "SEP", 9, "OCT", 10, "NOV", 11, "DEC", 12, "NO")</f>
        <v>5</v>
      </c>
      <c r="E124">
        <v>2026</v>
      </c>
      <c r="F124" t="s">
        <v>364</v>
      </c>
      <c r="G124">
        <f t="shared" si="5"/>
        <v>13</v>
      </c>
      <c r="H124">
        <v>58</v>
      </c>
      <c r="I124" t="s">
        <v>12</v>
      </c>
      <c r="J124">
        <v>20</v>
      </c>
      <c r="K124" t="s">
        <v>365</v>
      </c>
      <c r="L124" t="s">
        <v>366</v>
      </c>
      <c r="M124" t="str">
        <f t="shared" si="4"/>
        <v>Tuesday</v>
      </c>
    </row>
    <row r="125" spans="1:13" x14ac:dyDescent="0.3">
      <c r="A125" s="4">
        <f t="shared" si="3"/>
        <v>46168</v>
      </c>
      <c r="B125">
        <v>26</v>
      </c>
      <c r="C125" t="s">
        <v>207</v>
      </c>
      <c r="D125" cm="1">
        <f t="array" ref="D125">_xlfn.SWITCH(C125, "JAN", 1, "FEB", 2, "MAR", 3, "APR", 4,"MAY", 5, "JUN",6, "JUL", 7, "AUG", 8, "SEP", 9, "OCT", 10, "NOV", 11, "DEC", 12, "NO")</f>
        <v>5</v>
      </c>
      <c r="E125">
        <v>2026</v>
      </c>
      <c r="F125" t="s">
        <v>367</v>
      </c>
      <c r="G125">
        <f t="shared" si="5"/>
        <v>13</v>
      </c>
      <c r="H125">
        <v>57</v>
      </c>
      <c r="I125" t="s">
        <v>12</v>
      </c>
      <c r="J125">
        <v>965</v>
      </c>
      <c r="K125" t="s">
        <v>368</v>
      </c>
      <c r="L125" t="s">
        <v>369</v>
      </c>
      <c r="M125" t="str">
        <f t="shared" si="4"/>
        <v>Tuesday</v>
      </c>
    </row>
    <row r="126" spans="1:13" x14ac:dyDescent="0.3">
      <c r="A126" s="4">
        <f t="shared" si="3"/>
        <v>46167</v>
      </c>
      <c r="B126">
        <v>25</v>
      </c>
      <c r="C126" t="s">
        <v>207</v>
      </c>
      <c r="D126" cm="1">
        <f t="array" ref="D126">_xlfn.SWITCH(C126, "JAN", 1, "FEB", 2, "MAR", 3, "APR", 4,"MAY", 5, "JUN",6, "JUL", 7, "AUG", 8, "SEP", 9, "OCT", 10, "NOV", 11, "DEC", 12, "NO")</f>
        <v>5</v>
      </c>
      <c r="E126">
        <v>2026</v>
      </c>
      <c r="F126" t="s">
        <v>370</v>
      </c>
      <c r="G126">
        <f t="shared" si="5"/>
        <v>20</v>
      </c>
      <c r="H126">
        <v>19</v>
      </c>
      <c r="I126" t="s">
        <v>84</v>
      </c>
      <c r="J126">
        <v>20265</v>
      </c>
      <c r="K126" t="s">
        <v>371</v>
      </c>
      <c r="L126" t="s">
        <v>372</v>
      </c>
      <c r="M126" t="str">
        <f t="shared" si="4"/>
        <v>Monday</v>
      </c>
    </row>
    <row r="127" spans="1:13" x14ac:dyDescent="0.3">
      <c r="A127" s="4">
        <f t="shared" si="3"/>
        <v>46167</v>
      </c>
      <c r="B127">
        <v>25</v>
      </c>
      <c r="C127" t="s">
        <v>207</v>
      </c>
      <c r="D127" cm="1">
        <f t="array" ref="D127">_xlfn.SWITCH(C127, "JAN", 1, "FEB", 2, "MAR", 3, "APR", 4,"MAY", 5, "JUN",6, "JUL", 7, "AUG", 8, "SEP", 9, "OCT", 10, "NOV", 11, "DEC", 12, "NO")</f>
        <v>5</v>
      </c>
      <c r="E127">
        <v>2026</v>
      </c>
      <c r="F127" t="s">
        <v>373</v>
      </c>
      <c r="G127">
        <f t="shared" si="5"/>
        <v>20</v>
      </c>
      <c r="H127">
        <v>18</v>
      </c>
      <c r="I127" t="s">
        <v>12</v>
      </c>
      <c r="J127">
        <v>765</v>
      </c>
      <c r="K127" t="s">
        <v>374</v>
      </c>
      <c r="L127" t="s">
        <v>375</v>
      </c>
      <c r="M127" t="str">
        <f t="shared" si="4"/>
        <v>Monday</v>
      </c>
    </row>
    <row r="128" spans="1:13" x14ac:dyDescent="0.3">
      <c r="A128" s="4">
        <f t="shared" si="3"/>
        <v>46167</v>
      </c>
      <c r="B128">
        <v>25</v>
      </c>
      <c r="C128" t="s">
        <v>207</v>
      </c>
      <c r="D128" cm="1">
        <f t="array" ref="D128">_xlfn.SWITCH(C128, "JAN", 1, "FEB", 2, "MAR", 3, "APR", 4,"MAY", 5, "JUN",6, "JUL", 7, "AUG", 8, "SEP", 9, "OCT", 10, "NOV", 11, "DEC", 12, "NO")</f>
        <v>5</v>
      </c>
      <c r="E128">
        <v>2026</v>
      </c>
      <c r="F128" t="s">
        <v>376</v>
      </c>
      <c r="G128">
        <f t="shared" si="5"/>
        <v>19</v>
      </c>
      <c r="H128">
        <v>35</v>
      </c>
      <c r="I128" t="s">
        <v>12</v>
      </c>
      <c r="J128">
        <v>2500</v>
      </c>
      <c r="K128" t="s">
        <v>377</v>
      </c>
      <c r="L128" t="s">
        <v>378</v>
      </c>
      <c r="M128" t="str">
        <f t="shared" si="4"/>
        <v>Monday</v>
      </c>
    </row>
    <row r="129" spans="1:13" x14ac:dyDescent="0.3">
      <c r="A129" s="4">
        <f t="shared" si="3"/>
        <v>46167</v>
      </c>
      <c r="B129">
        <v>25</v>
      </c>
      <c r="C129" t="s">
        <v>207</v>
      </c>
      <c r="D129" cm="1">
        <f t="array" ref="D129">_xlfn.SWITCH(C129, "JAN", 1, "FEB", 2, "MAR", 3, "APR", 4,"MAY", 5, "JUN",6, "JUL", 7, "AUG", 8, "SEP", 9, "OCT", 10, "NOV", 11, "DEC", 12, "NO")</f>
        <v>5</v>
      </c>
      <c r="E129">
        <v>2026</v>
      </c>
      <c r="F129" t="s">
        <v>211</v>
      </c>
      <c r="G129">
        <f t="shared" si="5"/>
        <v>19</v>
      </c>
      <c r="H129">
        <v>29</v>
      </c>
      <c r="I129" t="s">
        <v>12</v>
      </c>
      <c r="J129">
        <v>1000</v>
      </c>
      <c r="K129" t="s">
        <v>379</v>
      </c>
      <c r="L129" t="s">
        <v>380</v>
      </c>
      <c r="M129" t="str">
        <f t="shared" si="4"/>
        <v>Monday</v>
      </c>
    </row>
    <row r="130" spans="1:13" x14ac:dyDescent="0.3">
      <c r="A130" s="4">
        <f t="shared" ref="A130:A193" si="6">DATE(E130, D130, B130)</f>
        <v>46167</v>
      </c>
      <c r="B130">
        <v>25</v>
      </c>
      <c r="C130" t="s">
        <v>207</v>
      </c>
      <c r="D130" cm="1">
        <f t="array" ref="D130">_xlfn.SWITCH(C130, "JAN", 1, "FEB", 2, "MAR", 3, "APR", 4,"MAY", 5, "JUN",6, "JUL", 7, "AUG", 8, "SEP", 9, "OCT", 10, "NOV", 11, "DEC", 12, "NO")</f>
        <v>5</v>
      </c>
      <c r="E130">
        <v>2026</v>
      </c>
      <c r="F130" t="s">
        <v>381</v>
      </c>
      <c r="G130">
        <f t="shared" si="5"/>
        <v>19</v>
      </c>
      <c r="H130">
        <v>23</v>
      </c>
      <c r="I130" t="s">
        <v>12</v>
      </c>
      <c r="J130">
        <v>30</v>
      </c>
      <c r="K130" t="s">
        <v>382</v>
      </c>
      <c r="L130" t="s">
        <v>383</v>
      </c>
      <c r="M130" t="str">
        <f t="shared" ref="M130:M193" si="7">TEXT(A130, "DDDD")</f>
        <v>Monday</v>
      </c>
    </row>
    <row r="131" spans="1:13" x14ac:dyDescent="0.3">
      <c r="A131" s="4">
        <f t="shared" si="6"/>
        <v>46167</v>
      </c>
      <c r="B131">
        <v>25</v>
      </c>
      <c r="C131" t="s">
        <v>207</v>
      </c>
      <c r="D131" cm="1">
        <f t="array" ref="D131">_xlfn.SWITCH(C131, "JAN", 1, "FEB", 2, "MAR", 3, "APR", 4,"MAY", 5, "JUN",6, "JUL", 7, "AUG", 8, "SEP", 9, "OCT", 10, "NOV", 11, "DEC", 12, "NO")</f>
        <v>5</v>
      </c>
      <c r="E131">
        <v>2026</v>
      </c>
      <c r="F131" t="s">
        <v>384</v>
      </c>
      <c r="G131">
        <f t="shared" ref="G131:G194" si="8">HOUR(F131)</f>
        <v>19</v>
      </c>
      <c r="H131">
        <v>8</v>
      </c>
      <c r="I131" t="s">
        <v>12</v>
      </c>
      <c r="J131">
        <v>1000</v>
      </c>
      <c r="K131" t="s">
        <v>385</v>
      </c>
      <c r="L131" t="s">
        <v>386</v>
      </c>
      <c r="M131" t="str">
        <f t="shared" si="7"/>
        <v>Monday</v>
      </c>
    </row>
    <row r="132" spans="1:13" x14ac:dyDescent="0.3">
      <c r="A132" s="4">
        <f t="shared" si="6"/>
        <v>46167</v>
      </c>
      <c r="B132">
        <v>25</v>
      </c>
      <c r="C132" t="s">
        <v>207</v>
      </c>
      <c r="D132" cm="1">
        <f t="array" ref="D132">_xlfn.SWITCH(C132, "JAN", 1, "FEB", 2, "MAR", 3, "APR", 4,"MAY", 5, "JUN",6, "JUL", 7, "AUG", 8, "SEP", 9, "OCT", 10, "NOV", 11, "DEC", 12, "NO")</f>
        <v>5</v>
      </c>
      <c r="E132">
        <v>2026</v>
      </c>
      <c r="F132" t="s">
        <v>387</v>
      </c>
      <c r="G132">
        <f t="shared" si="8"/>
        <v>18</v>
      </c>
      <c r="H132">
        <v>54</v>
      </c>
      <c r="I132" t="s">
        <v>12</v>
      </c>
      <c r="J132">
        <v>1000</v>
      </c>
      <c r="K132" t="s">
        <v>388</v>
      </c>
      <c r="L132" t="s">
        <v>389</v>
      </c>
      <c r="M132" t="str">
        <f t="shared" si="7"/>
        <v>Monday</v>
      </c>
    </row>
    <row r="133" spans="1:13" x14ac:dyDescent="0.3">
      <c r="A133" s="4">
        <f t="shared" si="6"/>
        <v>46167</v>
      </c>
      <c r="B133">
        <v>25</v>
      </c>
      <c r="C133" t="s">
        <v>207</v>
      </c>
      <c r="D133" cm="1">
        <f t="array" ref="D133">_xlfn.SWITCH(C133, "JAN", 1, "FEB", 2, "MAR", 3, "APR", 4,"MAY", 5, "JUN",6, "JUL", 7, "AUG", 8, "SEP", 9, "OCT", 10, "NOV", 11, "DEC", 12, "NO")</f>
        <v>5</v>
      </c>
      <c r="E133">
        <v>2026</v>
      </c>
      <c r="F133" t="s">
        <v>390</v>
      </c>
      <c r="G133">
        <f t="shared" si="8"/>
        <v>18</v>
      </c>
      <c r="H133">
        <v>45</v>
      </c>
      <c r="I133" t="s">
        <v>12</v>
      </c>
      <c r="J133">
        <v>1000</v>
      </c>
      <c r="K133" t="s">
        <v>391</v>
      </c>
      <c r="L133" t="s">
        <v>392</v>
      </c>
      <c r="M133" t="str">
        <f t="shared" si="7"/>
        <v>Monday</v>
      </c>
    </row>
    <row r="134" spans="1:13" x14ac:dyDescent="0.3">
      <c r="A134" s="4">
        <f t="shared" si="6"/>
        <v>46167</v>
      </c>
      <c r="B134">
        <v>25</v>
      </c>
      <c r="C134" t="s">
        <v>207</v>
      </c>
      <c r="D134" cm="1">
        <f t="array" ref="D134">_xlfn.SWITCH(C134, "JAN", 1, "FEB", 2, "MAR", 3, "APR", 4,"MAY", 5, "JUN",6, "JUL", 7, "AUG", 8, "SEP", 9, "OCT", 10, "NOV", 11, "DEC", 12, "NO")</f>
        <v>5</v>
      </c>
      <c r="E134">
        <v>2026</v>
      </c>
      <c r="F134" t="s">
        <v>393</v>
      </c>
      <c r="G134">
        <f t="shared" si="8"/>
        <v>18</v>
      </c>
      <c r="H134">
        <v>37</v>
      </c>
      <c r="I134" t="s">
        <v>12</v>
      </c>
      <c r="J134">
        <v>1000</v>
      </c>
      <c r="K134" t="s">
        <v>394</v>
      </c>
      <c r="L134" t="s">
        <v>395</v>
      </c>
      <c r="M134" t="str">
        <f t="shared" si="7"/>
        <v>Monday</v>
      </c>
    </row>
    <row r="135" spans="1:13" x14ac:dyDescent="0.3">
      <c r="A135" s="4">
        <f t="shared" si="6"/>
        <v>46167</v>
      </c>
      <c r="B135">
        <v>25</v>
      </c>
      <c r="C135" t="s">
        <v>207</v>
      </c>
      <c r="D135" cm="1">
        <f t="array" ref="D135">_xlfn.SWITCH(C135, "JAN", 1, "FEB", 2, "MAR", 3, "APR", 4,"MAY", 5, "JUN",6, "JUL", 7, "AUG", 8, "SEP", 9, "OCT", 10, "NOV", 11, "DEC", 12, "NO")</f>
        <v>5</v>
      </c>
      <c r="E135">
        <v>2026</v>
      </c>
      <c r="F135" t="s">
        <v>309</v>
      </c>
      <c r="G135">
        <f t="shared" si="8"/>
        <v>18</v>
      </c>
      <c r="H135">
        <v>25</v>
      </c>
      <c r="I135" t="s">
        <v>12</v>
      </c>
      <c r="J135">
        <v>1000</v>
      </c>
      <c r="K135" t="s">
        <v>396</v>
      </c>
      <c r="L135" t="s">
        <v>397</v>
      </c>
      <c r="M135" t="str">
        <f t="shared" si="7"/>
        <v>Monday</v>
      </c>
    </row>
    <row r="136" spans="1:13" x14ac:dyDescent="0.3">
      <c r="A136" s="4">
        <f t="shared" si="6"/>
        <v>46167</v>
      </c>
      <c r="B136">
        <v>25</v>
      </c>
      <c r="C136" t="s">
        <v>207</v>
      </c>
      <c r="D136" cm="1">
        <f t="array" ref="D136">_xlfn.SWITCH(C136, "JAN", 1, "FEB", 2, "MAR", 3, "APR", 4,"MAY", 5, "JUN",6, "JUL", 7, "AUG", 8, "SEP", 9, "OCT", 10, "NOV", 11, "DEC", 12, "NO")</f>
        <v>5</v>
      </c>
      <c r="E136">
        <v>2026</v>
      </c>
      <c r="F136" t="s">
        <v>398</v>
      </c>
      <c r="G136">
        <f t="shared" si="8"/>
        <v>18</v>
      </c>
      <c r="H136">
        <v>19</v>
      </c>
      <c r="I136" t="s">
        <v>12</v>
      </c>
      <c r="J136">
        <v>1000</v>
      </c>
      <c r="K136" t="s">
        <v>399</v>
      </c>
      <c r="L136" t="s">
        <v>400</v>
      </c>
      <c r="M136" t="str">
        <f t="shared" si="7"/>
        <v>Monday</v>
      </c>
    </row>
    <row r="137" spans="1:13" x14ac:dyDescent="0.3">
      <c r="A137" s="4">
        <f t="shared" si="6"/>
        <v>46167</v>
      </c>
      <c r="B137">
        <v>25</v>
      </c>
      <c r="C137" t="s">
        <v>207</v>
      </c>
      <c r="D137" cm="1">
        <f t="array" ref="D137">_xlfn.SWITCH(C137, "JAN", 1, "FEB", 2, "MAR", 3, "APR", 4,"MAY", 5, "JUN",6, "JUL", 7, "AUG", 8, "SEP", 9, "OCT", 10, "NOV", 11, "DEC", 12, "NO")</f>
        <v>5</v>
      </c>
      <c r="E137">
        <v>2026</v>
      </c>
      <c r="F137" t="s">
        <v>401</v>
      </c>
      <c r="G137">
        <f t="shared" si="8"/>
        <v>18</v>
      </c>
      <c r="H137">
        <v>8</v>
      </c>
      <c r="I137" t="s">
        <v>12</v>
      </c>
      <c r="J137">
        <v>1000</v>
      </c>
      <c r="K137" t="s">
        <v>402</v>
      </c>
      <c r="L137" t="s">
        <v>403</v>
      </c>
      <c r="M137" t="str">
        <f t="shared" si="7"/>
        <v>Monday</v>
      </c>
    </row>
    <row r="138" spans="1:13" x14ac:dyDescent="0.3">
      <c r="A138" s="4">
        <f t="shared" si="6"/>
        <v>46167</v>
      </c>
      <c r="B138">
        <v>25</v>
      </c>
      <c r="C138" t="s">
        <v>207</v>
      </c>
      <c r="D138" cm="1">
        <f t="array" ref="D138">_xlfn.SWITCH(C138, "JAN", 1, "FEB", 2, "MAR", 3, "APR", 4,"MAY", 5, "JUN",6, "JUL", 7, "AUG", 8, "SEP", 9, "OCT", 10, "NOV", 11, "DEC", 12, "NO")</f>
        <v>5</v>
      </c>
      <c r="E138">
        <v>2026</v>
      </c>
      <c r="F138" t="s">
        <v>404</v>
      </c>
      <c r="G138">
        <f t="shared" si="8"/>
        <v>17</v>
      </c>
      <c r="H138">
        <v>59</v>
      </c>
      <c r="I138" t="s">
        <v>12</v>
      </c>
      <c r="J138">
        <v>980</v>
      </c>
      <c r="K138" t="s">
        <v>405</v>
      </c>
      <c r="L138" t="s">
        <v>406</v>
      </c>
      <c r="M138" t="str">
        <f t="shared" si="7"/>
        <v>Monday</v>
      </c>
    </row>
    <row r="139" spans="1:13" x14ac:dyDescent="0.3">
      <c r="A139" s="4">
        <f t="shared" si="6"/>
        <v>46167</v>
      </c>
      <c r="B139">
        <v>25</v>
      </c>
      <c r="C139" t="s">
        <v>207</v>
      </c>
      <c r="D139" cm="1">
        <f t="array" ref="D139">_xlfn.SWITCH(C139, "JAN", 1, "FEB", 2, "MAR", 3, "APR", 4,"MAY", 5, "JUN",6, "JUL", 7, "AUG", 8, "SEP", 9, "OCT", 10, "NOV", 11, "DEC", 12, "NO")</f>
        <v>5</v>
      </c>
      <c r="E139">
        <v>2026</v>
      </c>
      <c r="F139" t="s">
        <v>294</v>
      </c>
      <c r="G139">
        <f t="shared" si="8"/>
        <v>17</v>
      </c>
      <c r="H139">
        <v>33</v>
      </c>
      <c r="I139" t="s">
        <v>12</v>
      </c>
      <c r="J139">
        <v>5000</v>
      </c>
      <c r="K139" t="s">
        <v>407</v>
      </c>
      <c r="L139" t="s">
        <v>408</v>
      </c>
      <c r="M139" t="str">
        <f t="shared" si="7"/>
        <v>Monday</v>
      </c>
    </row>
    <row r="140" spans="1:13" x14ac:dyDescent="0.3">
      <c r="A140" s="4">
        <f t="shared" si="6"/>
        <v>46167</v>
      </c>
      <c r="B140">
        <v>25</v>
      </c>
      <c r="C140" t="s">
        <v>207</v>
      </c>
      <c r="D140" cm="1">
        <f t="array" ref="D140">_xlfn.SWITCH(C140, "JAN", 1, "FEB", 2, "MAR", 3, "APR", 4,"MAY", 5, "JUN",6, "JUL", 7, "AUG", 8, "SEP", 9, "OCT", 10, "NOV", 11, "DEC", 12, "NO")</f>
        <v>5</v>
      </c>
      <c r="E140">
        <v>2026</v>
      </c>
      <c r="F140" t="s">
        <v>409</v>
      </c>
      <c r="G140">
        <f t="shared" si="8"/>
        <v>17</v>
      </c>
      <c r="H140">
        <v>13</v>
      </c>
      <c r="I140" t="s">
        <v>12</v>
      </c>
      <c r="J140">
        <v>30</v>
      </c>
      <c r="K140" t="s">
        <v>410</v>
      </c>
      <c r="L140" t="s">
        <v>411</v>
      </c>
      <c r="M140" t="str">
        <f t="shared" si="7"/>
        <v>Monday</v>
      </c>
    </row>
    <row r="141" spans="1:13" x14ac:dyDescent="0.3">
      <c r="A141" s="4">
        <f t="shared" si="6"/>
        <v>46167</v>
      </c>
      <c r="B141">
        <v>25</v>
      </c>
      <c r="C141" t="s">
        <v>207</v>
      </c>
      <c r="D141" cm="1">
        <f t="array" ref="D141">_xlfn.SWITCH(C141, "JAN", 1, "FEB", 2, "MAR", 3, "APR", 4,"MAY", 5, "JUN",6, "JUL", 7, "AUG", 8, "SEP", 9, "OCT", 10, "NOV", 11, "DEC", 12, "NO")</f>
        <v>5</v>
      </c>
      <c r="E141">
        <v>2026</v>
      </c>
      <c r="F141" t="s">
        <v>412</v>
      </c>
      <c r="G141">
        <f t="shared" si="8"/>
        <v>16</v>
      </c>
      <c r="H141">
        <v>47</v>
      </c>
      <c r="I141" t="s">
        <v>12</v>
      </c>
      <c r="J141">
        <v>1000</v>
      </c>
      <c r="K141" t="s">
        <v>413</v>
      </c>
      <c r="L141" t="s">
        <v>414</v>
      </c>
      <c r="M141" t="str">
        <f t="shared" si="7"/>
        <v>Monday</v>
      </c>
    </row>
    <row r="142" spans="1:13" x14ac:dyDescent="0.3">
      <c r="A142" s="4">
        <f t="shared" si="6"/>
        <v>46167</v>
      </c>
      <c r="B142">
        <v>25</v>
      </c>
      <c r="C142" t="s">
        <v>207</v>
      </c>
      <c r="D142" cm="1">
        <f t="array" ref="D142">_xlfn.SWITCH(C142, "JAN", 1, "FEB", 2, "MAR", 3, "APR", 4,"MAY", 5, "JUN",6, "JUL", 7, "AUG", 8, "SEP", 9, "OCT", 10, "NOV", 11, "DEC", 12, "NO")</f>
        <v>5</v>
      </c>
      <c r="E142">
        <v>2026</v>
      </c>
      <c r="F142" t="s">
        <v>415</v>
      </c>
      <c r="G142">
        <f t="shared" si="8"/>
        <v>15</v>
      </c>
      <c r="H142">
        <v>43</v>
      </c>
      <c r="I142" t="s">
        <v>12</v>
      </c>
      <c r="J142">
        <v>1000</v>
      </c>
      <c r="K142" t="s">
        <v>416</v>
      </c>
      <c r="L142" t="s">
        <v>417</v>
      </c>
      <c r="M142" t="str">
        <f t="shared" si="7"/>
        <v>Monday</v>
      </c>
    </row>
    <row r="143" spans="1:13" x14ac:dyDescent="0.3">
      <c r="A143" s="4">
        <f t="shared" si="6"/>
        <v>46167</v>
      </c>
      <c r="B143">
        <v>25</v>
      </c>
      <c r="C143" t="s">
        <v>207</v>
      </c>
      <c r="D143" cm="1">
        <f t="array" ref="D143">_xlfn.SWITCH(C143, "JAN", 1, "FEB", 2, "MAR", 3, "APR", 4,"MAY", 5, "JUN",6, "JUL", 7, "AUG", 8, "SEP", 9, "OCT", 10, "NOV", 11, "DEC", 12, "NO")</f>
        <v>5</v>
      </c>
      <c r="E143">
        <v>2026</v>
      </c>
      <c r="F143" t="s">
        <v>418</v>
      </c>
      <c r="G143">
        <f t="shared" si="8"/>
        <v>13</v>
      </c>
      <c r="H143">
        <v>30</v>
      </c>
      <c r="I143" t="s">
        <v>84</v>
      </c>
      <c r="J143">
        <v>65</v>
      </c>
      <c r="K143" t="s">
        <v>419</v>
      </c>
      <c r="L143" t="s">
        <v>420</v>
      </c>
      <c r="M143" t="str">
        <f t="shared" si="7"/>
        <v>Monday</v>
      </c>
    </row>
    <row r="144" spans="1:13" x14ac:dyDescent="0.3">
      <c r="A144" s="4">
        <f t="shared" si="6"/>
        <v>46167</v>
      </c>
      <c r="B144">
        <v>25</v>
      </c>
      <c r="C144" t="s">
        <v>207</v>
      </c>
      <c r="D144" cm="1">
        <f t="array" ref="D144">_xlfn.SWITCH(C144, "JAN", 1, "FEB", 2, "MAR", 3, "APR", 4,"MAY", 5, "JUN",6, "JUL", 7, "AUG", 8, "SEP", 9, "OCT", 10, "NOV", 11, "DEC", 12, "NO")</f>
        <v>5</v>
      </c>
      <c r="E144">
        <v>2026</v>
      </c>
      <c r="F144" t="s">
        <v>421</v>
      </c>
      <c r="G144">
        <f t="shared" si="8"/>
        <v>13</v>
      </c>
      <c r="H144">
        <v>20</v>
      </c>
      <c r="I144" t="s">
        <v>12</v>
      </c>
      <c r="J144">
        <v>65</v>
      </c>
      <c r="K144" t="s">
        <v>422</v>
      </c>
      <c r="L144" t="s">
        <v>423</v>
      </c>
      <c r="M144" t="str">
        <f t="shared" si="7"/>
        <v>Monday</v>
      </c>
    </row>
    <row r="145" spans="1:13" x14ac:dyDescent="0.3">
      <c r="A145" s="4">
        <f t="shared" si="6"/>
        <v>46167</v>
      </c>
      <c r="B145">
        <v>25</v>
      </c>
      <c r="C145" t="s">
        <v>207</v>
      </c>
      <c r="D145" cm="1">
        <f t="array" ref="D145">_xlfn.SWITCH(C145, "JAN", 1, "FEB", 2, "MAR", 3, "APR", 4,"MAY", 5, "JUN",6, "JUL", 7, "AUG", 8, "SEP", 9, "OCT", 10, "NOV", 11, "DEC", 12, "NO")</f>
        <v>5</v>
      </c>
      <c r="E145">
        <v>2026</v>
      </c>
      <c r="F145" t="s">
        <v>424</v>
      </c>
      <c r="G145">
        <f t="shared" si="8"/>
        <v>12</v>
      </c>
      <c r="H145">
        <v>18</v>
      </c>
      <c r="I145" t="s">
        <v>12</v>
      </c>
      <c r="J145">
        <v>1000</v>
      </c>
      <c r="K145" t="s">
        <v>425</v>
      </c>
      <c r="L145" t="s">
        <v>426</v>
      </c>
      <c r="M145" t="str">
        <f t="shared" si="7"/>
        <v>Monday</v>
      </c>
    </row>
    <row r="146" spans="1:13" x14ac:dyDescent="0.3">
      <c r="A146" s="4">
        <f t="shared" si="6"/>
        <v>46166</v>
      </c>
      <c r="B146">
        <v>24</v>
      </c>
      <c r="C146" t="s">
        <v>207</v>
      </c>
      <c r="D146" cm="1">
        <f t="array" ref="D146">_xlfn.SWITCH(C146, "JAN", 1, "FEB", 2, "MAR", 3, "APR", 4,"MAY", 5, "JUN",6, "JUL", 7, "AUG", 8, "SEP", 9, "OCT", 10, "NOV", 11, "DEC", 12, "NO")</f>
        <v>5</v>
      </c>
      <c r="E146">
        <v>2026</v>
      </c>
      <c r="F146" t="s">
        <v>427</v>
      </c>
      <c r="G146">
        <f t="shared" si="8"/>
        <v>21</v>
      </c>
      <c r="H146">
        <v>31</v>
      </c>
      <c r="I146" t="s">
        <v>84</v>
      </c>
      <c r="J146">
        <v>1000</v>
      </c>
      <c r="K146" t="s">
        <v>428</v>
      </c>
      <c r="L146" t="s">
        <v>429</v>
      </c>
      <c r="M146" t="str">
        <f t="shared" si="7"/>
        <v>Sunday</v>
      </c>
    </row>
    <row r="147" spans="1:13" x14ac:dyDescent="0.3">
      <c r="A147" s="4">
        <f t="shared" si="6"/>
        <v>46166</v>
      </c>
      <c r="B147">
        <v>24</v>
      </c>
      <c r="C147" t="s">
        <v>207</v>
      </c>
      <c r="D147" cm="1">
        <f t="array" ref="D147">_xlfn.SWITCH(C147, "JAN", 1, "FEB", 2, "MAR", 3, "APR", 4,"MAY", 5, "JUN",6, "JUL", 7, "AUG", 8, "SEP", 9, "OCT", 10, "NOV", 11, "DEC", 12, "NO")</f>
        <v>5</v>
      </c>
      <c r="E147">
        <v>2026</v>
      </c>
      <c r="F147" t="s">
        <v>269</v>
      </c>
      <c r="G147">
        <f t="shared" si="8"/>
        <v>18</v>
      </c>
      <c r="H147">
        <v>13</v>
      </c>
      <c r="I147" t="s">
        <v>12</v>
      </c>
      <c r="J147">
        <v>1000</v>
      </c>
      <c r="K147" t="s">
        <v>430</v>
      </c>
      <c r="L147" t="s">
        <v>431</v>
      </c>
      <c r="M147" t="str">
        <f t="shared" si="7"/>
        <v>Sunday</v>
      </c>
    </row>
    <row r="148" spans="1:13" x14ac:dyDescent="0.3">
      <c r="A148" s="4">
        <f t="shared" si="6"/>
        <v>46166</v>
      </c>
      <c r="B148">
        <v>24</v>
      </c>
      <c r="C148" t="s">
        <v>207</v>
      </c>
      <c r="D148" cm="1">
        <f t="array" ref="D148">_xlfn.SWITCH(C148, "JAN", 1, "FEB", 2, "MAR", 3, "APR", 4,"MAY", 5, "JUN",6, "JUL", 7, "AUG", 8, "SEP", 9, "OCT", 10, "NOV", 11, "DEC", 12, "NO")</f>
        <v>5</v>
      </c>
      <c r="E148">
        <v>2026</v>
      </c>
      <c r="F148" t="s">
        <v>432</v>
      </c>
      <c r="G148">
        <f t="shared" si="8"/>
        <v>14</v>
      </c>
      <c r="H148">
        <v>17</v>
      </c>
      <c r="I148" t="s">
        <v>84</v>
      </c>
      <c r="J148">
        <v>119</v>
      </c>
      <c r="K148" t="s">
        <v>433</v>
      </c>
      <c r="L148" t="s">
        <v>434</v>
      </c>
      <c r="M148" t="str">
        <f t="shared" si="7"/>
        <v>Sunday</v>
      </c>
    </row>
    <row r="149" spans="1:13" x14ac:dyDescent="0.3">
      <c r="A149" s="4">
        <f t="shared" si="6"/>
        <v>46165</v>
      </c>
      <c r="B149">
        <v>23</v>
      </c>
      <c r="C149" t="s">
        <v>207</v>
      </c>
      <c r="D149" cm="1">
        <f t="array" ref="D149">_xlfn.SWITCH(C149, "JAN", 1, "FEB", 2, "MAR", 3, "APR", 4,"MAY", 5, "JUN",6, "JUL", 7, "AUG", 8, "SEP", 9, "OCT", 10, "NOV", 11, "DEC", 12, "NO")</f>
        <v>5</v>
      </c>
      <c r="E149">
        <v>2026</v>
      </c>
      <c r="F149" t="s">
        <v>435</v>
      </c>
      <c r="G149">
        <f t="shared" si="8"/>
        <v>20</v>
      </c>
      <c r="H149">
        <v>51</v>
      </c>
      <c r="I149" t="s">
        <v>84</v>
      </c>
      <c r="J149">
        <v>33775</v>
      </c>
      <c r="K149" t="s">
        <v>436</v>
      </c>
      <c r="L149" t="s">
        <v>437</v>
      </c>
      <c r="M149" t="str">
        <f t="shared" si="7"/>
        <v>Saturday</v>
      </c>
    </row>
    <row r="150" spans="1:13" x14ac:dyDescent="0.3">
      <c r="A150" s="4">
        <f t="shared" si="6"/>
        <v>46165</v>
      </c>
      <c r="B150">
        <v>23</v>
      </c>
      <c r="C150" t="s">
        <v>207</v>
      </c>
      <c r="D150" cm="1">
        <f t="array" ref="D150">_xlfn.SWITCH(C150, "JAN", 1, "FEB", 2, "MAR", 3, "APR", 4,"MAY", 5, "JUN",6, "JUL", 7, "AUG", 8, "SEP", 9, "OCT", 10, "NOV", 11, "DEC", 12, "NO")</f>
        <v>5</v>
      </c>
      <c r="E150">
        <v>2026</v>
      </c>
      <c r="F150" t="s">
        <v>438</v>
      </c>
      <c r="G150">
        <f t="shared" si="8"/>
        <v>20</v>
      </c>
      <c r="H150">
        <v>4</v>
      </c>
      <c r="I150" t="s">
        <v>12</v>
      </c>
      <c r="J150">
        <v>5000</v>
      </c>
      <c r="K150" t="s">
        <v>439</v>
      </c>
      <c r="L150" t="s">
        <v>440</v>
      </c>
      <c r="M150" t="str">
        <f t="shared" si="7"/>
        <v>Saturday</v>
      </c>
    </row>
    <row r="151" spans="1:13" x14ac:dyDescent="0.3">
      <c r="A151" s="4">
        <f t="shared" si="6"/>
        <v>46165</v>
      </c>
      <c r="B151">
        <v>23</v>
      </c>
      <c r="C151" t="s">
        <v>207</v>
      </c>
      <c r="D151" cm="1">
        <f t="array" ref="D151">_xlfn.SWITCH(C151, "JAN", 1, "FEB", 2, "MAR", 3, "APR", 4,"MAY", 5, "JUN",6, "JUL", 7, "AUG", 8, "SEP", 9, "OCT", 10, "NOV", 11, "DEC", 12, "NO")</f>
        <v>5</v>
      </c>
      <c r="E151">
        <v>2026</v>
      </c>
      <c r="F151" t="s">
        <v>441</v>
      </c>
      <c r="G151">
        <f t="shared" si="8"/>
        <v>20</v>
      </c>
      <c r="H151">
        <v>3</v>
      </c>
      <c r="I151" t="s">
        <v>12</v>
      </c>
      <c r="J151">
        <v>1000</v>
      </c>
      <c r="K151" t="s">
        <v>442</v>
      </c>
      <c r="L151" t="s">
        <v>443</v>
      </c>
      <c r="M151" t="str">
        <f t="shared" si="7"/>
        <v>Saturday</v>
      </c>
    </row>
    <row r="152" spans="1:13" x14ac:dyDescent="0.3">
      <c r="A152" s="4">
        <f t="shared" si="6"/>
        <v>46165</v>
      </c>
      <c r="B152">
        <v>23</v>
      </c>
      <c r="C152" t="s">
        <v>207</v>
      </c>
      <c r="D152" cm="1">
        <f t="array" ref="D152">_xlfn.SWITCH(C152, "JAN", 1, "FEB", 2, "MAR", 3, "APR", 4,"MAY", 5, "JUN",6, "JUL", 7, "AUG", 8, "SEP", 9, "OCT", 10, "NOV", 11, "DEC", 12, "NO")</f>
        <v>5</v>
      </c>
      <c r="E152">
        <v>2026</v>
      </c>
      <c r="F152" t="s">
        <v>444</v>
      </c>
      <c r="G152">
        <f t="shared" si="8"/>
        <v>19</v>
      </c>
      <c r="H152">
        <v>13</v>
      </c>
      <c r="I152" t="s">
        <v>12</v>
      </c>
      <c r="J152">
        <v>1000</v>
      </c>
      <c r="K152" t="s">
        <v>445</v>
      </c>
      <c r="L152" t="s">
        <v>446</v>
      </c>
      <c r="M152" t="str">
        <f t="shared" si="7"/>
        <v>Saturday</v>
      </c>
    </row>
    <row r="153" spans="1:13" x14ac:dyDescent="0.3">
      <c r="A153" s="4">
        <f t="shared" si="6"/>
        <v>46165</v>
      </c>
      <c r="B153">
        <v>23</v>
      </c>
      <c r="C153" t="s">
        <v>207</v>
      </c>
      <c r="D153" cm="1">
        <f t="array" ref="D153">_xlfn.SWITCH(C153, "JAN", 1, "FEB", 2, "MAR", 3, "APR", 4,"MAY", 5, "JUN",6, "JUL", 7, "AUG", 8, "SEP", 9, "OCT", 10, "NOV", 11, "DEC", 12, "NO")</f>
        <v>5</v>
      </c>
      <c r="E153">
        <v>2026</v>
      </c>
      <c r="F153" t="s">
        <v>447</v>
      </c>
      <c r="G153">
        <f t="shared" si="8"/>
        <v>18</v>
      </c>
      <c r="H153">
        <v>28</v>
      </c>
      <c r="I153" t="s">
        <v>12</v>
      </c>
      <c r="J153">
        <v>1000</v>
      </c>
      <c r="K153" t="s">
        <v>448</v>
      </c>
      <c r="L153" t="s">
        <v>449</v>
      </c>
      <c r="M153" t="str">
        <f t="shared" si="7"/>
        <v>Saturday</v>
      </c>
    </row>
    <row r="154" spans="1:13" x14ac:dyDescent="0.3">
      <c r="A154" s="4">
        <f t="shared" si="6"/>
        <v>46165</v>
      </c>
      <c r="B154">
        <v>23</v>
      </c>
      <c r="C154" t="s">
        <v>207</v>
      </c>
      <c r="D154" cm="1">
        <f t="array" ref="D154">_xlfn.SWITCH(C154, "JAN", 1, "FEB", 2, "MAR", 3, "APR", 4,"MAY", 5, "JUN",6, "JUL", 7, "AUG", 8, "SEP", 9, "OCT", 10, "NOV", 11, "DEC", 12, "NO")</f>
        <v>5</v>
      </c>
      <c r="E154">
        <v>2026</v>
      </c>
      <c r="F154" t="s">
        <v>398</v>
      </c>
      <c r="G154">
        <f t="shared" si="8"/>
        <v>18</v>
      </c>
      <c r="H154">
        <v>19</v>
      </c>
      <c r="I154" t="s">
        <v>12</v>
      </c>
      <c r="J154">
        <v>1000</v>
      </c>
      <c r="K154" t="s">
        <v>450</v>
      </c>
      <c r="L154" t="s">
        <v>451</v>
      </c>
      <c r="M154" t="str">
        <f t="shared" si="7"/>
        <v>Saturday</v>
      </c>
    </row>
    <row r="155" spans="1:13" x14ac:dyDescent="0.3">
      <c r="A155" s="4">
        <f t="shared" si="6"/>
        <v>46165</v>
      </c>
      <c r="B155">
        <v>23</v>
      </c>
      <c r="C155" t="s">
        <v>207</v>
      </c>
      <c r="D155" cm="1">
        <f t="array" ref="D155">_xlfn.SWITCH(C155, "JAN", 1, "FEB", 2, "MAR", 3, "APR", 4,"MAY", 5, "JUN",6, "JUL", 7, "AUG", 8, "SEP", 9, "OCT", 10, "NOV", 11, "DEC", 12, "NO")</f>
        <v>5</v>
      </c>
      <c r="E155">
        <v>2026</v>
      </c>
      <c r="F155" t="s">
        <v>452</v>
      </c>
      <c r="G155">
        <f t="shared" si="8"/>
        <v>17</v>
      </c>
      <c r="H155">
        <v>44</v>
      </c>
      <c r="I155" t="s">
        <v>12</v>
      </c>
      <c r="J155">
        <v>1000</v>
      </c>
      <c r="K155" t="s">
        <v>453</v>
      </c>
      <c r="L155" t="s">
        <v>454</v>
      </c>
      <c r="M155" t="str">
        <f t="shared" si="7"/>
        <v>Saturday</v>
      </c>
    </row>
    <row r="156" spans="1:13" x14ac:dyDescent="0.3">
      <c r="A156" s="4">
        <f t="shared" si="6"/>
        <v>46165</v>
      </c>
      <c r="B156">
        <v>23</v>
      </c>
      <c r="C156" t="s">
        <v>207</v>
      </c>
      <c r="D156" cm="1">
        <f t="array" ref="D156">_xlfn.SWITCH(C156, "JAN", 1, "FEB", 2, "MAR", 3, "APR", 4,"MAY", 5, "JUN",6, "JUL", 7, "AUG", 8, "SEP", 9, "OCT", 10, "NOV", 11, "DEC", 12, "NO")</f>
        <v>5</v>
      </c>
      <c r="E156">
        <v>2026</v>
      </c>
      <c r="F156" t="s">
        <v>455</v>
      </c>
      <c r="G156">
        <f t="shared" si="8"/>
        <v>17</v>
      </c>
      <c r="H156">
        <v>35</v>
      </c>
      <c r="I156" t="s">
        <v>12</v>
      </c>
      <c r="J156">
        <v>1000</v>
      </c>
      <c r="K156" t="s">
        <v>456</v>
      </c>
      <c r="L156" t="s">
        <v>457</v>
      </c>
      <c r="M156" t="str">
        <f t="shared" si="7"/>
        <v>Saturday</v>
      </c>
    </row>
    <row r="157" spans="1:13" x14ac:dyDescent="0.3">
      <c r="A157" s="4">
        <f t="shared" si="6"/>
        <v>46165</v>
      </c>
      <c r="B157">
        <v>23</v>
      </c>
      <c r="C157" t="s">
        <v>207</v>
      </c>
      <c r="D157" cm="1">
        <f t="array" ref="D157">_xlfn.SWITCH(C157, "JAN", 1, "FEB", 2, "MAR", 3, "APR", 4,"MAY", 5, "JUN",6, "JUL", 7, "AUG", 8, "SEP", 9, "OCT", 10, "NOV", 11, "DEC", 12, "NO")</f>
        <v>5</v>
      </c>
      <c r="E157">
        <v>2026</v>
      </c>
      <c r="F157" t="s">
        <v>409</v>
      </c>
      <c r="G157">
        <f t="shared" si="8"/>
        <v>17</v>
      </c>
      <c r="H157">
        <v>13</v>
      </c>
      <c r="I157" t="s">
        <v>12</v>
      </c>
      <c r="J157">
        <v>1000</v>
      </c>
      <c r="K157" t="s">
        <v>458</v>
      </c>
      <c r="L157" t="s">
        <v>459</v>
      </c>
      <c r="M157" t="str">
        <f t="shared" si="7"/>
        <v>Saturday</v>
      </c>
    </row>
    <row r="158" spans="1:13" x14ac:dyDescent="0.3">
      <c r="A158" s="4">
        <f t="shared" si="6"/>
        <v>46165</v>
      </c>
      <c r="B158">
        <v>23</v>
      </c>
      <c r="C158" t="s">
        <v>207</v>
      </c>
      <c r="D158" cm="1">
        <f t="array" ref="D158">_xlfn.SWITCH(C158, "JAN", 1, "FEB", 2, "MAR", 3, "APR", 4,"MAY", 5, "JUN",6, "JUL", 7, "AUG", 8, "SEP", 9, "OCT", 10, "NOV", 11, "DEC", 12, "NO")</f>
        <v>5</v>
      </c>
      <c r="E158">
        <v>2026</v>
      </c>
      <c r="F158" t="s">
        <v>460</v>
      </c>
      <c r="G158">
        <f t="shared" si="8"/>
        <v>17</v>
      </c>
      <c r="H158">
        <v>9</v>
      </c>
      <c r="I158" t="s">
        <v>12</v>
      </c>
      <c r="J158">
        <v>1000</v>
      </c>
      <c r="K158" t="s">
        <v>461</v>
      </c>
      <c r="L158" t="s">
        <v>462</v>
      </c>
      <c r="M158" t="str">
        <f t="shared" si="7"/>
        <v>Saturday</v>
      </c>
    </row>
    <row r="159" spans="1:13" x14ac:dyDescent="0.3">
      <c r="A159" s="4">
        <f t="shared" si="6"/>
        <v>46165</v>
      </c>
      <c r="B159">
        <v>23</v>
      </c>
      <c r="C159" t="s">
        <v>207</v>
      </c>
      <c r="D159" cm="1">
        <f t="array" ref="D159">_xlfn.SWITCH(C159, "JAN", 1, "FEB", 2, "MAR", 3, "APR", 4,"MAY", 5, "JUN",6, "JUL", 7, "AUG", 8, "SEP", 9, "OCT", 10, "NOV", 11, "DEC", 12, "NO")</f>
        <v>5</v>
      </c>
      <c r="E159">
        <v>2026</v>
      </c>
      <c r="F159" t="s">
        <v>463</v>
      </c>
      <c r="G159">
        <f t="shared" si="8"/>
        <v>17</v>
      </c>
      <c r="H159">
        <v>6</v>
      </c>
      <c r="I159" t="s">
        <v>12</v>
      </c>
      <c r="J159">
        <v>30</v>
      </c>
      <c r="K159" t="s">
        <v>464</v>
      </c>
      <c r="L159" t="s">
        <v>465</v>
      </c>
      <c r="M159" t="str">
        <f t="shared" si="7"/>
        <v>Saturday</v>
      </c>
    </row>
    <row r="160" spans="1:13" x14ac:dyDescent="0.3">
      <c r="A160" s="4">
        <f t="shared" si="6"/>
        <v>46165</v>
      </c>
      <c r="B160">
        <v>23</v>
      </c>
      <c r="C160" t="s">
        <v>207</v>
      </c>
      <c r="D160" cm="1">
        <f t="array" ref="D160">_xlfn.SWITCH(C160, "JAN", 1, "FEB", 2, "MAR", 3, "APR", 4,"MAY", 5, "JUN",6, "JUL", 7, "AUG", 8, "SEP", 9, "OCT", 10, "NOV", 11, "DEC", 12, "NO")</f>
        <v>5</v>
      </c>
      <c r="E160">
        <v>2026</v>
      </c>
      <c r="F160" t="s">
        <v>466</v>
      </c>
      <c r="G160">
        <f t="shared" si="8"/>
        <v>17</v>
      </c>
      <c r="H160">
        <v>4</v>
      </c>
      <c r="I160" t="s">
        <v>12</v>
      </c>
      <c r="J160">
        <v>1000</v>
      </c>
      <c r="K160" t="s">
        <v>467</v>
      </c>
      <c r="L160" t="s">
        <v>468</v>
      </c>
      <c r="M160" t="str">
        <f t="shared" si="7"/>
        <v>Saturday</v>
      </c>
    </row>
    <row r="161" spans="1:13" x14ac:dyDescent="0.3">
      <c r="A161" s="4">
        <f t="shared" si="6"/>
        <v>46165</v>
      </c>
      <c r="B161">
        <v>23</v>
      </c>
      <c r="C161" t="s">
        <v>207</v>
      </c>
      <c r="D161" cm="1">
        <f t="array" ref="D161">_xlfn.SWITCH(C161, "JAN", 1, "FEB", 2, "MAR", 3, "APR", 4,"MAY", 5, "JUN",6, "JUL", 7, "AUG", 8, "SEP", 9, "OCT", 10, "NOV", 11, "DEC", 12, "NO")</f>
        <v>5</v>
      </c>
      <c r="E161">
        <v>2026</v>
      </c>
      <c r="F161" t="s">
        <v>412</v>
      </c>
      <c r="G161">
        <f t="shared" si="8"/>
        <v>16</v>
      </c>
      <c r="H161">
        <v>47</v>
      </c>
      <c r="I161" t="s">
        <v>12</v>
      </c>
      <c r="J161">
        <v>1000</v>
      </c>
      <c r="K161" t="s">
        <v>469</v>
      </c>
      <c r="L161" t="s">
        <v>470</v>
      </c>
      <c r="M161" t="str">
        <f t="shared" si="7"/>
        <v>Saturday</v>
      </c>
    </row>
    <row r="162" spans="1:13" x14ac:dyDescent="0.3">
      <c r="A162" s="4">
        <f t="shared" si="6"/>
        <v>46165</v>
      </c>
      <c r="B162">
        <v>23</v>
      </c>
      <c r="C162" t="s">
        <v>207</v>
      </c>
      <c r="D162" cm="1">
        <f t="array" ref="D162">_xlfn.SWITCH(C162, "JAN", 1, "FEB", 2, "MAR", 3, "APR", 4,"MAY", 5, "JUN",6, "JUL", 7, "AUG", 8, "SEP", 9, "OCT", 10, "NOV", 11, "DEC", 12, "NO")</f>
        <v>5</v>
      </c>
      <c r="E162">
        <v>2026</v>
      </c>
      <c r="F162" t="s">
        <v>471</v>
      </c>
      <c r="G162">
        <f t="shared" si="8"/>
        <v>16</v>
      </c>
      <c r="H162">
        <v>20</v>
      </c>
      <c r="I162" t="s">
        <v>12</v>
      </c>
      <c r="J162">
        <v>1000</v>
      </c>
      <c r="K162" t="s">
        <v>472</v>
      </c>
      <c r="L162" t="s">
        <v>473</v>
      </c>
      <c r="M162" t="str">
        <f t="shared" si="7"/>
        <v>Saturday</v>
      </c>
    </row>
    <row r="163" spans="1:13" x14ac:dyDescent="0.3">
      <c r="A163" s="4">
        <f t="shared" si="6"/>
        <v>46165</v>
      </c>
      <c r="B163">
        <v>23</v>
      </c>
      <c r="C163" t="s">
        <v>207</v>
      </c>
      <c r="D163" cm="1">
        <f t="array" ref="D163">_xlfn.SWITCH(C163, "JAN", 1, "FEB", 2, "MAR", 3, "APR", 4,"MAY", 5, "JUN",6, "JUL", 7, "AUG", 8, "SEP", 9, "OCT", 10, "NOV", 11, "DEC", 12, "NO")</f>
        <v>5</v>
      </c>
      <c r="E163">
        <v>2026</v>
      </c>
      <c r="F163" t="s">
        <v>474</v>
      </c>
      <c r="G163">
        <f t="shared" si="8"/>
        <v>16</v>
      </c>
      <c r="H163">
        <v>19</v>
      </c>
      <c r="I163" t="s">
        <v>12</v>
      </c>
      <c r="J163">
        <v>1000</v>
      </c>
      <c r="K163" t="s">
        <v>475</v>
      </c>
      <c r="L163" t="s">
        <v>476</v>
      </c>
      <c r="M163" t="str">
        <f t="shared" si="7"/>
        <v>Saturday</v>
      </c>
    </row>
    <row r="164" spans="1:13" x14ac:dyDescent="0.3">
      <c r="A164" s="4">
        <f t="shared" si="6"/>
        <v>46165</v>
      </c>
      <c r="B164">
        <v>23</v>
      </c>
      <c r="C164" t="s">
        <v>207</v>
      </c>
      <c r="D164" cm="1">
        <f t="array" ref="D164">_xlfn.SWITCH(C164, "JAN", 1, "FEB", 2, "MAR", 3, "APR", 4,"MAY", 5, "JUN",6, "JUL", 7, "AUG", 8, "SEP", 9, "OCT", 10, "NOV", 11, "DEC", 12, "NO")</f>
        <v>5</v>
      </c>
      <c r="E164">
        <v>2026</v>
      </c>
      <c r="F164" t="s">
        <v>477</v>
      </c>
      <c r="G164">
        <f t="shared" si="8"/>
        <v>16</v>
      </c>
      <c r="H164">
        <v>9</v>
      </c>
      <c r="I164" t="s">
        <v>12</v>
      </c>
      <c r="J164">
        <v>990</v>
      </c>
      <c r="K164" t="s">
        <v>478</v>
      </c>
      <c r="L164" t="s">
        <v>479</v>
      </c>
      <c r="M164" t="str">
        <f t="shared" si="7"/>
        <v>Saturday</v>
      </c>
    </row>
    <row r="165" spans="1:13" x14ac:dyDescent="0.3">
      <c r="A165" s="4">
        <f t="shared" si="6"/>
        <v>46165</v>
      </c>
      <c r="B165">
        <v>23</v>
      </c>
      <c r="C165" t="s">
        <v>207</v>
      </c>
      <c r="D165" cm="1">
        <f t="array" ref="D165">_xlfn.SWITCH(C165, "JAN", 1, "FEB", 2, "MAR", 3, "APR", 4,"MAY", 5, "JUN",6, "JUL", 7, "AUG", 8, "SEP", 9, "OCT", 10, "NOV", 11, "DEC", 12, "NO")</f>
        <v>5</v>
      </c>
      <c r="E165">
        <v>2026</v>
      </c>
      <c r="F165" t="s">
        <v>480</v>
      </c>
      <c r="G165">
        <f t="shared" si="8"/>
        <v>16</v>
      </c>
      <c r="H165">
        <v>7</v>
      </c>
      <c r="I165" t="s">
        <v>12</v>
      </c>
      <c r="J165">
        <v>1000</v>
      </c>
      <c r="K165" t="s">
        <v>481</v>
      </c>
      <c r="L165" t="s">
        <v>482</v>
      </c>
      <c r="M165" t="str">
        <f t="shared" si="7"/>
        <v>Saturday</v>
      </c>
    </row>
    <row r="166" spans="1:13" x14ac:dyDescent="0.3">
      <c r="A166" s="4">
        <f t="shared" si="6"/>
        <v>46165</v>
      </c>
      <c r="B166">
        <v>23</v>
      </c>
      <c r="C166" t="s">
        <v>207</v>
      </c>
      <c r="D166" cm="1">
        <f t="array" ref="D166">_xlfn.SWITCH(C166, "JAN", 1, "FEB", 2, "MAR", 3, "APR", 4,"MAY", 5, "JUN",6, "JUL", 7, "AUG", 8, "SEP", 9, "OCT", 10, "NOV", 11, "DEC", 12, "NO")</f>
        <v>5</v>
      </c>
      <c r="E166">
        <v>2026</v>
      </c>
      <c r="F166" t="s">
        <v>480</v>
      </c>
      <c r="G166">
        <f t="shared" si="8"/>
        <v>16</v>
      </c>
      <c r="H166">
        <v>7</v>
      </c>
      <c r="I166" t="s">
        <v>12</v>
      </c>
      <c r="J166">
        <v>1000</v>
      </c>
      <c r="K166" t="s">
        <v>483</v>
      </c>
      <c r="L166" t="s">
        <v>484</v>
      </c>
      <c r="M166" t="str">
        <f t="shared" si="7"/>
        <v>Saturday</v>
      </c>
    </row>
    <row r="167" spans="1:13" x14ac:dyDescent="0.3">
      <c r="A167" s="4">
        <f t="shared" si="6"/>
        <v>46165</v>
      </c>
      <c r="B167">
        <v>23</v>
      </c>
      <c r="C167" t="s">
        <v>207</v>
      </c>
      <c r="D167" cm="1">
        <f t="array" ref="D167">_xlfn.SWITCH(C167, "JAN", 1, "FEB", 2, "MAR", 3, "APR", 4,"MAY", 5, "JUN",6, "JUL", 7, "AUG", 8, "SEP", 9, "OCT", 10, "NOV", 11, "DEC", 12, "NO")</f>
        <v>5</v>
      </c>
      <c r="E167">
        <v>2026</v>
      </c>
      <c r="F167" t="s">
        <v>485</v>
      </c>
      <c r="G167">
        <f t="shared" si="8"/>
        <v>16</v>
      </c>
      <c r="H167">
        <v>6</v>
      </c>
      <c r="I167" t="s">
        <v>12</v>
      </c>
      <c r="J167">
        <v>1000</v>
      </c>
      <c r="K167" t="s">
        <v>486</v>
      </c>
      <c r="L167" t="s">
        <v>487</v>
      </c>
      <c r="M167" t="str">
        <f t="shared" si="7"/>
        <v>Saturday</v>
      </c>
    </row>
    <row r="168" spans="1:13" x14ac:dyDescent="0.3">
      <c r="A168" s="4">
        <f t="shared" si="6"/>
        <v>46165</v>
      </c>
      <c r="B168">
        <v>23</v>
      </c>
      <c r="C168" t="s">
        <v>207</v>
      </c>
      <c r="D168" cm="1">
        <f t="array" ref="D168">_xlfn.SWITCH(C168, "JAN", 1, "FEB", 2, "MAR", 3, "APR", 4,"MAY", 5, "JUN",6, "JUL", 7, "AUG", 8, "SEP", 9, "OCT", 10, "NOV", 11, "DEC", 12, "NO")</f>
        <v>5</v>
      </c>
      <c r="E168">
        <v>2026</v>
      </c>
      <c r="F168" t="s">
        <v>488</v>
      </c>
      <c r="G168">
        <f t="shared" si="8"/>
        <v>16</v>
      </c>
      <c r="H168">
        <v>0</v>
      </c>
      <c r="I168" t="s">
        <v>84</v>
      </c>
      <c r="J168">
        <v>19</v>
      </c>
      <c r="K168" t="s">
        <v>489</v>
      </c>
      <c r="L168" t="s">
        <v>490</v>
      </c>
      <c r="M168" t="str">
        <f t="shared" si="7"/>
        <v>Saturday</v>
      </c>
    </row>
    <row r="169" spans="1:13" x14ac:dyDescent="0.3">
      <c r="A169" s="4">
        <f t="shared" si="6"/>
        <v>46165</v>
      </c>
      <c r="B169">
        <v>23</v>
      </c>
      <c r="C169" t="s">
        <v>207</v>
      </c>
      <c r="D169" cm="1">
        <f t="array" ref="D169">_xlfn.SWITCH(C169, "JAN", 1, "FEB", 2, "MAR", 3, "APR", 4,"MAY", 5, "JUN",6, "JUL", 7, "AUG", 8, "SEP", 9, "OCT", 10, "NOV", 11, "DEC", 12, "NO")</f>
        <v>5</v>
      </c>
      <c r="E169">
        <v>2026</v>
      </c>
      <c r="F169" t="s">
        <v>251</v>
      </c>
      <c r="G169">
        <f t="shared" si="8"/>
        <v>15</v>
      </c>
      <c r="H169">
        <v>45</v>
      </c>
      <c r="I169" t="s">
        <v>12</v>
      </c>
      <c r="J169">
        <v>1000</v>
      </c>
      <c r="K169" t="s">
        <v>491</v>
      </c>
      <c r="L169" t="s">
        <v>492</v>
      </c>
      <c r="M169" t="str">
        <f t="shared" si="7"/>
        <v>Saturday</v>
      </c>
    </row>
    <row r="170" spans="1:13" x14ac:dyDescent="0.3">
      <c r="A170" s="4">
        <f t="shared" si="6"/>
        <v>46165</v>
      </c>
      <c r="B170">
        <v>23</v>
      </c>
      <c r="C170" t="s">
        <v>207</v>
      </c>
      <c r="D170" cm="1">
        <f t="array" ref="D170">_xlfn.SWITCH(C170, "JAN", 1, "FEB", 2, "MAR", 3, "APR", 4,"MAY", 5, "JUN",6, "JUL", 7, "AUG", 8, "SEP", 9, "OCT", 10, "NOV", 11, "DEC", 12, "NO")</f>
        <v>5</v>
      </c>
      <c r="E170">
        <v>2026</v>
      </c>
      <c r="F170" t="s">
        <v>493</v>
      </c>
      <c r="G170">
        <f t="shared" si="8"/>
        <v>15</v>
      </c>
      <c r="H170">
        <v>33</v>
      </c>
      <c r="I170" t="s">
        <v>12</v>
      </c>
      <c r="J170">
        <v>1000</v>
      </c>
      <c r="K170" t="s">
        <v>494</v>
      </c>
      <c r="L170" t="s">
        <v>495</v>
      </c>
      <c r="M170" t="str">
        <f t="shared" si="7"/>
        <v>Saturday</v>
      </c>
    </row>
    <row r="171" spans="1:13" x14ac:dyDescent="0.3">
      <c r="A171" s="4">
        <f t="shared" si="6"/>
        <v>46165</v>
      </c>
      <c r="B171">
        <v>23</v>
      </c>
      <c r="C171" t="s">
        <v>207</v>
      </c>
      <c r="D171" cm="1">
        <f t="array" ref="D171">_xlfn.SWITCH(C171, "JAN", 1, "FEB", 2, "MAR", 3, "APR", 4,"MAY", 5, "JUN",6, "JUL", 7, "AUG", 8, "SEP", 9, "OCT", 10, "NOV", 11, "DEC", 12, "NO")</f>
        <v>5</v>
      </c>
      <c r="E171">
        <v>2026</v>
      </c>
      <c r="F171" t="s">
        <v>496</v>
      </c>
      <c r="G171">
        <f t="shared" si="8"/>
        <v>15</v>
      </c>
      <c r="H171">
        <v>28</v>
      </c>
      <c r="I171" t="s">
        <v>12</v>
      </c>
      <c r="J171">
        <v>2500</v>
      </c>
      <c r="K171" t="s">
        <v>497</v>
      </c>
      <c r="L171" t="s">
        <v>498</v>
      </c>
      <c r="M171" t="str">
        <f t="shared" si="7"/>
        <v>Saturday</v>
      </c>
    </row>
    <row r="172" spans="1:13" x14ac:dyDescent="0.3">
      <c r="A172" s="4">
        <f t="shared" si="6"/>
        <v>46165</v>
      </c>
      <c r="B172">
        <v>23</v>
      </c>
      <c r="C172" t="s">
        <v>207</v>
      </c>
      <c r="D172" cm="1">
        <f t="array" ref="D172">_xlfn.SWITCH(C172, "JAN", 1, "FEB", 2, "MAR", 3, "APR", 4,"MAY", 5, "JUN",6, "JUL", 7, "AUG", 8, "SEP", 9, "OCT", 10, "NOV", 11, "DEC", 12, "NO")</f>
        <v>5</v>
      </c>
      <c r="E172">
        <v>2026</v>
      </c>
      <c r="F172" t="s">
        <v>149</v>
      </c>
      <c r="G172">
        <f t="shared" si="8"/>
        <v>14</v>
      </c>
      <c r="H172">
        <v>52</v>
      </c>
      <c r="I172" t="s">
        <v>12</v>
      </c>
      <c r="J172">
        <v>1500</v>
      </c>
      <c r="K172" t="s">
        <v>499</v>
      </c>
      <c r="L172" t="s">
        <v>500</v>
      </c>
      <c r="M172" t="str">
        <f t="shared" si="7"/>
        <v>Saturday</v>
      </c>
    </row>
    <row r="173" spans="1:13" x14ac:dyDescent="0.3">
      <c r="A173" s="4">
        <f t="shared" si="6"/>
        <v>46165</v>
      </c>
      <c r="B173">
        <v>23</v>
      </c>
      <c r="C173" t="s">
        <v>207</v>
      </c>
      <c r="D173" cm="1">
        <f t="array" ref="D173">_xlfn.SWITCH(C173, "JAN", 1, "FEB", 2, "MAR", 3, "APR", 4,"MAY", 5, "JUN",6, "JUL", 7, "AUG", 8, "SEP", 9, "OCT", 10, "NOV", 11, "DEC", 12, "NO")</f>
        <v>5</v>
      </c>
      <c r="E173">
        <v>2026</v>
      </c>
      <c r="F173" t="s">
        <v>501</v>
      </c>
      <c r="G173">
        <f t="shared" si="8"/>
        <v>14</v>
      </c>
      <c r="H173">
        <v>18</v>
      </c>
      <c r="I173" t="s">
        <v>12</v>
      </c>
      <c r="J173">
        <v>5000</v>
      </c>
      <c r="K173" t="s">
        <v>502</v>
      </c>
      <c r="L173" t="s">
        <v>503</v>
      </c>
      <c r="M173" t="str">
        <f t="shared" si="7"/>
        <v>Saturday</v>
      </c>
    </row>
    <row r="174" spans="1:13" x14ac:dyDescent="0.3">
      <c r="A174" s="4">
        <f t="shared" si="6"/>
        <v>46165</v>
      </c>
      <c r="B174">
        <v>23</v>
      </c>
      <c r="C174" t="s">
        <v>207</v>
      </c>
      <c r="D174" cm="1">
        <f t="array" ref="D174">_xlfn.SWITCH(C174, "JAN", 1, "FEB", 2, "MAR", 3, "APR", 4,"MAY", 5, "JUN",6, "JUL", 7, "AUG", 8, "SEP", 9, "OCT", 10, "NOV", 11, "DEC", 12, "NO")</f>
        <v>5</v>
      </c>
      <c r="E174">
        <v>2026</v>
      </c>
      <c r="F174" t="s">
        <v>504</v>
      </c>
      <c r="G174">
        <f t="shared" si="8"/>
        <v>13</v>
      </c>
      <c r="H174">
        <v>25</v>
      </c>
      <c r="I174" t="s">
        <v>12</v>
      </c>
      <c r="J174">
        <v>1000</v>
      </c>
      <c r="K174" t="s">
        <v>505</v>
      </c>
      <c r="L174" t="s">
        <v>506</v>
      </c>
      <c r="M174" t="str">
        <f t="shared" si="7"/>
        <v>Saturday</v>
      </c>
    </row>
    <row r="175" spans="1:13" x14ac:dyDescent="0.3">
      <c r="A175" s="4">
        <f t="shared" si="6"/>
        <v>46165</v>
      </c>
      <c r="B175">
        <v>23</v>
      </c>
      <c r="C175" t="s">
        <v>207</v>
      </c>
      <c r="D175" cm="1">
        <f t="array" ref="D175">_xlfn.SWITCH(C175, "JAN", 1, "FEB", 2, "MAR", 3, "APR", 4,"MAY", 5, "JUN",6, "JUL", 7, "AUG", 8, "SEP", 9, "OCT", 10, "NOV", 11, "DEC", 12, "NO")</f>
        <v>5</v>
      </c>
      <c r="E175">
        <v>2026</v>
      </c>
      <c r="F175" t="s">
        <v>507</v>
      </c>
      <c r="G175">
        <f t="shared" si="8"/>
        <v>13</v>
      </c>
      <c r="H175">
        <v>14</v>
      </c>
      <c r="I175" t="s">
        <v>12</v>
      </c>
      <c r="J175">
        <v>1000</v>
      </c>
      <c r="K175" t="s">
        <v>508</v>
      </c>
      <c r="L175" t="s">
        <v>509</v>
      </c>
      <c r="M175" t="str">
        <f t="shared" si="7"/>
        <v>Saturday</v>
      </c>
    </row>
    <row r="176" spans="1:13" x14ac:dyDescent="0.3">
      <c r="A176" s="4">
        <f t="shared" si="6"/>
        <v>46165</v>
      </c>
      <c r="B176">
        <v>23</v>
      </c>
      <c r="C176" t="s">
        <v>207</v>
      </c>
      <c r="D176" cm="1">
        <f t="array" ref="D176">_xlfn.SWITCH(C176, "JAN", 1, "FEB", 2, "MAR", 3, "APR", 4,"MAY", 5, "JUN",6, "JUL", 7, "AUG", 8, "SEP", 9, "OCT", 10, "NOV", 11, "DEC", 12, "NO")</f>
        <v>5</v>
      </c>
      <c r="E176">
        <v>2026</v>
      </c>
      <c r="F176" t="s">
        <v>510</v>
      </c>
      <c r="G176">
        <f t="shared" si="8"/>
        <v>10</v>
      </c>
      <c r="H176">
        <v>42</v>
      </c>
      <c r="I176" t="s">
        <v>84</v>
      </c>
      <c r="J176">
        <v>5000</v>
      </c>
      <c r="K176" t="s">
        <v>511</v>
      </c>
      <c r="L176" t="s">
        <v>512</v>
      </c>
      <c r="M176" t="str">
        <f t="shared" si="7"/>
        <v>Saturday</v>
      </c>
    </row>
    <row r="177" spans="1:13" x14ac:dyDescent="0.3">
      <c r="A177" s="4">
        <f t="shared" si="6"/>
        <v>46164</v>
      </c>
      <c r="B177">
        <v>22</v>
      </c>
      <c r="C177" t="s">
        <v>207</v>
      </c>
      <c r="D177" cm="1">
        <f t="array" ref="D177">_xlfn.SWITCH(C177, "JAN", 1, "FEB", 2, "MAR", 3, "APR", 4,"MAY", 5, "JUN",6, "JUL", 7, "AUG", 8, "SEP", 9, "OCT", 10, "NOV", 11, "DEC", 12, "NO")</f>
        <v>5</v>
      </c>
      <c r="E177">
        <v>2026</v>
      </c>
      <c r="F177" t="s">
        <v>211</v>
      </c>
      <c r="G177">
        <f t="shared" si="8"/>
        <v>19</v>
      </c>
      <c r="H177">
        <v>29</v>
      </c>
      <c r="I177" t="s">
        <v>84</v>
      </c>
      <c r="J177">
        <v>13510</v>
      </c>
      <c r="K177" t="s">
        <v>513</v>
      </c>
      <c r="L177" t="s">
        <v>514</v>
      </c>
      <c r="M177" t="str">
        <f t="shared" si="7"/>
        <v>Friday</v>
      </c>
    </row>
    <row r="178" spans="1:13" x14ac:dyDescent="0.3">
      <c r="A178" s="4">
        <f t="shared" si="6"/>
        <v>46164</v>
      </c>
      <c r="B178">
        <v>22</v>
      </c>
      <c r="C178" t="s">
        <v>207</v>
      </c>
      <c r="D178" cm="1">
        <f t="array" ref="D178">_xlfn.SWITCH(C178, "JAN", 1, "FEB", 2, "MAR", 3, "APR", 4,"MAY", 5, "JUN",6, "JUL", 7, "AUG", 8, "SEP", 9, "OCT", 10, "NOV", 11, "DEC", 12, "NO")</f>
        <v>5</v>
      </c>
      <c r="E178">
        <v>2026</v>
      </c>
      <c r="F178" t="s">
        <v>214</v>
      </c>
      <c r="G178">
        <f t="shared" si="8"/>
        <v>19</v>
      </c>
      <c r="H178">
        <v>28</v>
      </c>
      <c r="I178" t="s">
        <v>12</v>
      </c>
      <c r="J178">
        <v>510</v>
      </c>
      <c r="K178" t="s">
        <v>515</v>
      </c>
      <c r="L178" t="s">
        <v>516</v>
      </c>
      <c r="M178" t="str">
        <f t="shared" si="7"/>
        <v>Friday</v>
      </c>
    </row>
    <row r="179" spans="1:13" x14ac:dyDescent="0.3">
      <c r="A179" s="4">
        <f t="shared" si="6"/>
        <v>46164</v>
      </c>
      <c r="B179">
        <v>22</v>
      </c>
      <c r="C179" t="s">
        <v>207</v>
      </c>
      <c r="D179" cm="1">
        <f t="array" ref="D179">_xlfn.SWITCH(C179, "JAN", 1, "FEB", 2, "MAR", 3, "APR", 4,"MAY", 5, "JUN",6, "JUL", 7, "AUG", 8, "SEP", 9, "OCT", 10, "NOV", 11, "DEC", 12, "NO")</f>
        <v>5</v>
      </c>
      <c r="E179">
        <v>2026</v>
      </c>
      <c r="F179" t="s">
        <v>312</v>
      </c>
      <c r="G179">
        <f t="shared" si="8"/>
        <v>18</v>
      </c>
      <c r="H179">
        <v>24</v>
      </c>
      <c r="I179" t="s">
        <v>12</v>
      </c>
      <c r="J179">
        <v>1000</v>
      </c>
      <c r="K179" t="s">
        <v>517</v>
      </c>
      <c r="L179" t="s">
        <v>518</v>
      </c>
      <c r="M179" t="str">
        <f t="shared" si="7"/>
        <v>Friday</v>
      </c>
    </row>
    <row r="180" spans="1:13" x14ac:dyDescent="0.3">
      <c r="A180" s="4">
        <f t="shared" si="6"/>
        <v>46164</v>
      </c>
      <c r="B180">
        <v>22</v>
      </c>
      <c r="C180" t="s">
        <v>207</v>
      </c>
      <c r="D180" cm="1">
        <f t="array" ref="D180">_xlfn.SWITCH(C180, "JAN", 1, "FEB", 2, "MAR", 3, "APR", 4,"MAY", 5, "JUN",6, "JUL", 7, "AUG", 8, "SEP", 9, "OCT", 10, "NOV", 11, "DEC", 12, "NO")</f>
        <v>5</v>
      </c>
      <c r="E180">
        <v>2026</v>
      </c>
      <c r="F180" t="s">
        <v>519</v>
      </c>
      <c r="G180">
        <f t="shared" si="8"/>
        <v>18</v>
      </c>
      <c r="H180">
        <v>11</v>
      </c>
      <c r="I180" t="s">
        <v>12</v>
      </c>
      <c r="J180">
        <v>1000</v>
      </c>
      <c r="K180" t="s">
        <v>520</v>
      </c>
      <c r="L180" t="s">
        <v>521</v>
      </c>
      <c r="M180" t="str">
        <f t="shared" si="7"/>
        <v>Friday</v>
      </c>
    </row>
    <row r="181" spans="1:13" x14ac:dyDescent="0.3">
      <c r="A181" s="4">
        <f t="shared" si="6"/>
        <v>46164</v>
      </c>
      <c r="B181">
        <v>22</v>
      </c>
      <c r="C181" t="s">
        <v>207</v>
      </c>
      <c r="D181" cm="1">
        <f t="array" ref="D181">_xlfn.SWITCH(C181, "JAN", 1, "FEB", 2, "MAR", 3, "APR", 4,"MAY", 5, "JUN",6, "JUL", 7, "AUG", 8, "SEP", 9, "OCT", 10, "NOV", 11, "DEC", 12, "NO")</f>
        <v>5</v>
      </c>
      <c r="E181">
        <v>2026</v>
      </c>
      <c r="F181" t="s">
        <v>401</v>
      </c>
      <c r="G181">
        <f t="shared" si="8"/>
        <v>18</v>
      </c>
      <c r="H181">
        <v>8</v>
      </c>
      <c r="I181" t="s">
        <v>12</v>
      </c>
      <c r="J181">
        <v>1000</v>
      </c>
      <c r="K181" t="s">
        <v>522</v>
      </c>
      <c r="L181" t="s">
        <v>523</v>
      </c>
      <c r="M181" t="str">
        <f t="shared" si="7"/>
        <v>Friday</v>
      </c>
    </row>
    <row r="182" spans="1:13" x14ac:dyDescent="0.3">
      <c r="A182" s="4">
        <f t="shared" si="6"/>
        <v>46164</v>
      </c>
      <c r="B182">
        <v>22</v>
      </c>
      <c r="C182" t="s">
        <v>207</v>
      </c>
      <c r="D182" cm="1">
        <f t="array" ref="D182">_xlfn.SWITCH(C182, "JAN", 1, "FEB", 2, "MAR", 3, "APR", 4,"MAY", 5, "JUN",6, "JUL", 7, "AUG", 8, "SEP", 9, "OCT", 10, "NOV", 11, "DEC", 12, "NO")</f>
        <v>5</v>
      </c>
      <c r="E182">
        <v>2026</v>
      </c>
      <c r="F182" t="s">
        <v>524</v>
      </c>
      <c r="G182">
        <f t="shared" si="8"/>
        <v>17</v>
      </c>
      <c r="H182">
        <v>12</v>
      </c>
      <c r="I182" t="s">
        <v>12</v>
      </c>
      <c r="J182">
        <v>1000</v>
      </c>
      <c r="K182" t="s">
        <v>525</v>
      </c>
      <c r="L182" t="s">
        <v>526</v>
      </c>
      <c r="M182" t="str">
        <f t="shared" si="7"/>
        <v>Friday</v>
      </c>
    </row>
    <row r="183" spans="1:13" x14ac:dyDescent="0.3">
      <c r="A183" s="4">
        <f t="shared" si="6"/>
        <v>46164</v>
      </c>
      <c r="B183">
        <v>22</v>
      </c>
      <c r="C183" t="s">
        <v>207</v>
      </c>
      <c r="D183" cm="1">
        <f t="array" ref="D183">_xlfn.SWITCH(C183, "JAN", 1, "FEB", 2, "MAR", 3, "APR", 4,"MAY", 5, "JUN",6, "JUL", 7, "AUG", 8, "SEP", 9, "OCT", 10, "NOV", 11, "DEC", 12, "NO")</f>
        <v>5</v>
      </c>
      <c r="E183">
        <v>2026</v>
      </c>
      <c r="F183" t="s">
        <v>527</v>
      </c>
      <c r="G183">
        <f t="shared" si="8"/>
        <v>15</v>
      </c>
      <c r="H183">
        <v>58</v>
      </c>
      <c r="I183" t="s">
        <v>12</v>
      </c>
      <c r="J183">
        <v>965</v>
      </c>
      <c r="K183" t="s">
        <v>528</v>
      </c>
      <c r="L183" t="s">
        <v>529</v>
      </c>
      <c r="M183" t="str">
        <f t="shared" si="7"/>
        <v>Friday</v>
      </c>
    </row>
    <row r="184" spans="1:13" x14ac:dyDescent="0.3">
      <c r="A184" s="4">
        <f t="shared" si="6"/>
        <v>46164</v>
      </c>
      <c r="B184">
        <v>22</v>
      </c>
      <c r="C184" t="s">
        <v>207</v>
      </c>
      <c r="D184" cm="1">
        <f t="array" ref="D184">_xlfn.SWITCH(C184, "JAN", 1, "FEB", 2, "MAR", 3, "APR", 4,"MAY", 5, "JUN",6, "JUL", 7, "AUG", 8, "SEP", 9, "OCT", 10, "NOV", 11, "DEC", 12, "NO")</f>
        <v>5</v>
      </c>
      <c r="E184">
        <v>2026</v>
      </c>
      <c r="F184" t="s">
        <v>530</v>
      </c>
      <c r="G184">
        <f t="shared" si="8"/>
        <v>15</v>
      </c>
      <c r="H184">
        <v>37</v>
      </c>
      <c r="I184" t="s">
        <v>12</v>
      </c>
      <c r="J184">
        <v>30</v>
      </c>
      <c r="K184" t="s">
        <v>531</v>
      </c>
      <c r="L184" t="s">
        <v>532</v>
      </c>
      <c r="M184" t="str">
        <f t="shared" si="7"/>
        <v>Friday</v>
      </c>
    </row>
    <row r="185" spans="1:13" x14ac:dyDescent="0.3">
      <c r="A185" s="4">
        <f t="shared" si="6"/>
        <v>46164</v>
      </c>
      <c r="B185">
        <v>22</v>
      </c>
      <c r="C185" t="s">
        <v>207</v>
      </c>
      <c r="D185" cm="1">
        <f t="array" ref="D185">_xlfn.SWITCH(C185, "JAN", 1, "FEB", 2, "MAR", 3, "APR", 4,"MAY", 5, "JUN",6, "JUL", 7, "AUG", 8, "SEP", 9, "OCT", 10, "NOV", 11, "DEC", 12, "NO")</f>
        <v>5</v>
      </c>
      <c r="E185">
        <v>2026</v>
      </c>
      <c r="F185" t="s">
        <v>533</v>
      </c>
      <c r="G185">
        <f t="shared" si="8"/>
        <v>15</v>
      </c>
      <c r="H185">
        <v>27</v>
      </c>
      <c r="I185" t="s">
        <v>12</v>
      </c>
      <c r="J185">
        <v>1000</v>
      </c>
      <c r="K185" t="s">
        <v>534</v>
      </c>
      <c r="L185" t="s">
        <v>535</v>
      </c>
      <c r="M185" t="str">
        <f t="shared" si="7"/>
        <v>Friday</v>
      </c>
    </row>
    <row r="186" spans="1:13" x14ac:dyDescent="0.3">
      <c r="A186" s="4">
        <f t="shared" si="6"/>
        <v>46164</v>
      </c>
      <c r="B186">
        <v>22</v>
      </c>
      <c r="C186" t="s">
        <v>207</v>
      </c>
      <c r="D186" cm="1">
        <f t="array" ref="D186">_xlfn.SWITCH(C186, "JAN", 1, "FEB", 2, "MAR", 3, "APR", 4,"MAY", 5, "JUN",6, "JUL", 7, "AUG", 8, "SEP", 9, "OCT", 10, "NOV", 11, "DEC", 12, "NO")</f>
        <v>5</v>
      </c>
      <c r="E186">
        <v>2026</v>
      </c>
      <c r="F186" t="s">
        <v>533</v>
      </c>
      <c r="G186">
        <f t="shared" si="8"/>
        <v>15</v>
      </c>
      <c r="H186">
        <v>27</v>
      </c>
      <c r="I186" t="s">
        <v>12</v>
      </c>
      <c r="J186">
        <v>1000</v>
      </c>
      <c r="K186" t="s">
        <v>536</v>
      </c>
      <c r="L186" t="s">
        <v>537</v>
      </c>
      <c r="M186" t="str">
        <f t="shared" si="7"/>
        <v>Friday</v>
      </c>
    </row>
    <row r="187" spans="1:13" x14ac:dyDescent="0.3">
      <c r="A187" s="4">
        <f t="shared" si="6"/>
        <v>46164</v>
      </c>
      <c r="B187">
        <v>22</v>
      </c>
      <c r="C187" t="s">
        <v>207</v>
      </c>
      <c r="D187" cm="1">
        <f t="array" ref="D187">_xlfn.SWITCH(C187, "JAN", 1, "FEB", 2, "MAR", 3, "APR", 4,"MAY", 5, "JUN",6, "JUL", 7, "AUG", 8, "SEP", 9, "OCT", 10, "NOV", 11, "DEC", 12, "NO")</f>
        <v>5</v>
      </c>
      <c r="E187">
        <v>2026</v>
      </c>
      <c r="F187" t="s">
        <v>146</v>
      </c>
      <c r="G187">
        <f t="shared" si="8"/>
        <v>15</v>
      </c>
      <c r="H187">
        <v>2</v>
      </c>
      <c r="I187" t="s">
        <v>12</v>
      </c>
      <c r="J187">
        <v>30</v>
      </c>
      <c r="K187" t="s">
        <v>538</v>
      </c>
      <c r="L187" t="s">
        <v>539</v>
      </c>
      <c r="M187" t="str">
        <f t="shared" si="7"/>
        <v>Friday</v>
      </c>
    </row>
    <row r="188" spans="1:13" x14ac:dyDescent="0.3">
      <c r="A188" s="4">
        <f t="shared" si="6"/>
        <v>46164</v>
      </c>
      <c r="B188">
        <v>22</v>
      </c>
      <c r="C188" t="s">
        <v>207</v>
      </c>
      <c r="D188" cm="1">
        <f t="array" ref="D188">_xlfn.SWITCH(C188, "JAN", 1, "FEB", 2, "MAR", 3, "APR", 4,"MAY", 5, "JUN",6, "JUL", 7, "AUG", 8, "SEP", 9, "OCT", 10, "NOV", 11, "DEC", 12, "NO")</f>
        <v>5</v>
      </c>
      <c r="E188">
        <v>2026</v>
      </c>
      <c r="F188" t="s">
        <v>152</v>
      </c>
      <c r="G188">
        <f t="shared" si="8"/>
        <v>14</v>
      </c>
      <c r="H188">
        <v>40</v>
      </c>
      <c r="I188" t="s">
        <v>12</v>
      </c>
      <c r="J188">
        <v>2000</v>
      </c>
      <c r="K188" t="s">
        <v>540</v>
      </c>
      <c r="L188" t="s">
        <v>541</v>
      </c>
      <c r="M188" t="str">
        <f t="shared" si="7"/>
        <v>Friday</v>
      </c>
    </row>
    <row r="189" spans="1:13" x14ac:dyDescent="0.3">
      <c r="A189" s="4">
        <f t="shared" si="6"/>
        <v>46164</v>
      </c>
      <c r="B189">
        <v>22</v>
      </c>
      <c r="C189" t="s">
        <v>207</v>
      </c>
      <c r="D189" cm="1">
        <f t="array" ref="D189">_xlfn.SWITCH(C189, "JAN", 1, "FEB", 2, "MAR", 3, "APR", 4,"MAY", 5, "JUN",6, "JUL", 7, "AUG", 8, "SEP", 9, "OCT", 10, "NOV", 11, "DEC", 12, "NO")</f>
        <v>5</v>
      </c>
      <c r="E189">
        <v>2026</v>
      </c>
      <c r="F189" t="s">
        <v>542</v>
      </c>
      <c r="G189">
        <f t="shared" si="8"/>
        <v>14</v>
      </c>
      <c r="H189">
        <v>27</v>
      </c>
      <c r="I189" t="s">
        <v>12</v>
      </c>
      <c r="J189">
        <v>1000</v>
      </c>
      <c r="K189" t="s">
        <v>543</v>
      </c>
      <c r="L189" t="s">
        <v>544</v>
      </c>
      <c r="M189" t="str">
        <f t="shared" si="7"/>
        <v>Friday</v>
      </c>
    </row>
    <row r="190" spans="1:13" x14ac:dyDescent="0.3">
      <c r="A190" s="4">
        <f t="shared" si="6"/>
        <v>46164</v>
      </c>
      <c r="B190">
        <v>22</v>
      </c>
      <c r="C190" t="s">
        <v>207</v>
      </c>
      <c r="D190" cm="1">
        <f t="array" ref="D190">_xlfn.SWITCH(C190, "JAN", 1, "FEB", 2, "MAR", 3, "APR", 4,"MAY", 5, "JUN",6, "JUL", 7, "AUG", 8, "SEP", 9, "OCT", 10, "NOV", 11, "DEC", 12, "NO")</f>
        <v>5</v>
      </c>
      <c r="E190">
        <v>2026</v>
      </c>
      <c r="F190" t="s">
        <v>432</v>
      </c>
      <c r="G190">
        <f t="shared" si="8"/>
        <v>14</v>
      </c>
      <c r="H190">
        <v>17</v>
      </c>
      <c r="I190" t="s">
        <v>12</v>
      </c>
      <c r="J190">
        <v>1000</v>
      </c>
      <c r="K190" t="s">
        <v>545</v>
      </c>
      <c r="L190" t="s">
        <v>546</v>
      </c>
      <c r="M190" t="str">
        <f t="shared" si="7"/>
        <v>Friday</v>
      </c>
    </row>
    <row r="191" spans="1:13" x14ac:dyDescent="0.3">
      <c r="A191" s="4">
        <f t="shared" si="6"/>
        <v>46164</v>
      </c>
      <c r="B191">
        <v>22</v>
      </c>
      <c r="C191" t="s">
        <v>207</v>
      </c>
      <c r="D191" cm="1">
        <f t="array" ref="D191">_xlfn.SWITCH(C191, "JAN", 1, "FEB", 2, "MAR", 3, "APR", 4,"MAY", 5, "JUN",6, "JUL", 7, "AUG", 8, "SEP", 9, "OCT", 10, "NOV", 11, "DEC", 12, "NO")</f>
        <v>5</v>
      </c>
      <c r="E191">
        <v>2026</v>
      </c>
      <c r="F191" t="s">
        <v>547</v>
      </c>
      <c r="G191">
        <f t="shared" si="8"/>
        <v>14</v>
      </c>
      <c r="H191">
        <v>9</v>
      </c>
      <c r="I191" t="s">
        <v>12</v>
      </c>
      <c r="J191">
        <v>1000</v>
      </c>
      <c r="K191" t="s">
        <v>548</v>
      </c>
      <c r="L191" t="s">
        <v>549</v>
      </c>
      <c r="M191" t="str">
        <f t="shared" si="7"/>
        <v>Friday</v>
      </c>
    </row>
    <row r="192" spans="1:13" x14ac:dyDescent="0.3">
      <c r="A192" s="4">
        <f t="shared" si="6"/>
        <v>46164</v>
      </c>
      <c r="B192">
        <v>22</v>
      </c>
      <c r="C192" t="s">
        <v>207</v>
      </c>
      <c r="D192" cm="1">
        <f t="array" ref="D192">_xlfn.SWITCH(C192, "JAN", 1, "FEB", 2, "MAR", 3, "APR", 4,"MAY", 5, "JUN",6, "JUL", 7, "AUG", 8, "SEP", 9, "OCT", 10, "NOV", 11, "DEC", 12, "NO")</f>
        <v>5</v>
      </c>
      <c r="E192">
        <v>2026</v>
      </c>
      <c r="F192" t="s">
        <v>550</v>
      </c>
      <c r="G192">
        <f t="shared" si="8"/>
        <v>13</v>
      </c>
      <c r="H192">
        <v>52</v>
      </c>
      <c r="I192" t="s">
        <v>12</v>
      </c>
      <c r="J192">
        <v>985</v>
      </c>
      <c r="K192" t="s">
        <v>551</v>
      </c>
      <c r="L192" t="s">
        <v>552</v>
      </c>
      <c r="M192" t="str">
        <f t="shared" si="7"/>
        <v>Friday</v>
      </c>
    </row>
    <row r="193" spans="1:13" x14ac:dyDescent="0.3">
      <c r="A193" s="4">
        <f t="shared" si="6"/>
        <v>46162</v>
      </c>
      <c r="B193">
        <v>20</v>
      </c>
      <c r="C193" t="s">
        <v>207</v>
      </c>
      <c r="D193" cm="1">
        <f t="array" ref="D193">_xlfn.SWITCH(C193, "JAN", 1, "FEB", 2, "MAR", 3, "APR", 4,"MAY", 5, "JUN",6, "JUL", 7, "AUG", 8, "SEP", 9, "OCT", 10, "NOV", 11, "DEC", 12, "NO")</f>
        <v>5</v>
      </c>
      <c r="E193">
        <v>2026</v>
      </c>
      <c r="F193" t="s">
        <v>381</v>
      </c>
      <c r="G193">
        <f t="shared" si="8"/>
        <v>19</v>
      </c>
      <c r="H193">
        <v>23</v>
      </c>
      <c r="I193" t="s">
        <v>84</v>
      </c>
      <c r="J193">
        <v>21230</v>
      </c>
      <c r="K193" t="s">
        <v>553</v>
      </c>
      <c r="L193" t="s">
        <v>554</v>
      </c>
      <c r="M193" t="str">
        <f t="shared" si="7"/>
        <v>Wednesday</v>
      </c>
    </row>
    <row r="194" spans="1:13" x14ac:dyDescent="0.3">
      <c r="A194" s="4">
        <f t="shared" ref="A194:A257" si="9">DATE(E194, D194, B194)</f>
        <v>46162</v>
      </c>
      <c r="B194">
        <v>20</v>
      </c>
      <c r="C194" t="s">
        <v>207</v>
      </c>
      <c r="D194" cm="1">
        <f t="array" ref="D194">_xlfn.SWITCH(C194, "JAN", 1, "FEB", 2, "MAR", 3, "APR", 4,"MAY", 5, "JUN",6, "JUL", 7, "AUG", 8, "SEP", 9, "OCT", 10, "NOV", 11, "DEC", 12, "NO")</f>
        <v>5</v>
      </c>
      <c r="E194">
        <v>2026</v>
      </c>
      <c r="F194" t="s">
        <v>555</v>
      </c>
      <c r="G194">
        <f t="shared" si="8"/>
        <v>19</v>
      </c>
      <c r="H194">
        <v>22</v>
      </c>
      <c r="I194" t="s">
        <v>12</v>
      </c>
      <c r="J194">
        <v>230</v>
      </c>
      <c r="K194" t="s">
        <v>556</v>
      </c>
      <c r="L194" t="s">
        <v>557</v>
      </c>
      <c r="M194" t="str">
        <f t="shared" ref="M194:M257" si="10">TEXT(A194, "DDDD")</f>
        <v>Wednesday</v>
      </c>
    </row>
    <row r="195" spans="1:13" x14ac:dyDescent="0.3">
      <c r="A195" s="4">
        <f t="shared" si="9"/>
        <v>46162</v>
      </c>
      <c r="B195">
        <v>20</v>
      </c>
      <c r="C195" t="s">
        <v>207</v>
      </c>
      <c r="D195" cm="1">
        <f t="array" ref="D195">_xlfn.SWITCH(C195, "JAN", 1, "FEB", 2, "MAR", 3, "APR", 4,"MAY", 5, "JUN",6, "JUL", 7, "AUG", 8, "SEP", 9, "OCT", 10, "NOV", 11, "DEC", 12, "NO")</f>
        <v>5</v>
      </c>
      <c r="E195">
        <v>2026</v>
      </c>
      <c r="F195" t="s">
        <v>558</v>
      </c>
      <c r="G195">
        <f t="shared" ref="G195:G258" si="11">HOUR(F195)</f>
        <v>19</v>
      </c>
      <c r="H195">
        <v>21</v>
      </c>
      <c r="I195" t="s">
        <v>12</v>
      </c>
      <c r="J195">
        <v>5000</v>
      </c>
      <c r="K195" t="s">
        <v>559</v>
      </c>
      <c r="L195" t="s">
        <v>560</v>
      </c>
      <c r="M195" t="str">
        <f t="shared" si="10"/>
        <v>Wednesday</v>
      </c>
    </row>
    <row r="196" spans="1:13" x14ac:dyDescent="0.3">
      <c r="A196" s="4">
        <f t="shared" si="9"/>
        <v>46162</v>
      </c>
      <c r="B196">
        <v>20</v>
      </c>
      <c r="C196" t="s">
        <v>207</v>
      </c>
      <c r="D196" cm="1">
        <f t="array" ref="D196">_xlfn.SWITCH(C196, "JAN", 1, "FEB", 2, "MAR", 3, "APR", 4,"MAY", 5, "JUN",6, "JUL", 7, "AUG", 8, "SEP", 9, "OCT", 10, "NOV", 11, "DEC", 12, "NO")</f>
        <v>5</v>
      </c>
      <c r="E196">
        <v>2026</v>
      </c>
      <c r="F196" t="s">
        <v>561</v>
      </c>
      <c r="G196">
        <f t="shared" si="11"/>
        <v>18</v>
      </c>
      <c r="H196">
        <v>39</v>
      </c>
      <c r="I196" t="s">
        <v>12</v>
      </c>
      <c r="J196">
        <v>1000</v>
      </c>
      <c r="K196" t="s">
        <v>562</v>
      </c>
      <c r="L196" t="s">
        <v>563</v>
      </c>
      <c r="M196" t="str">
        <f t="shared" si="10"/>
        <v>Wednesday</v>
      </c>
    </row>
    <row r="197" spans="1:13" x14ac:dyDescent="0.3">
      <c r="A197" s="4">
        <f t="shared" si="9"/>
        <v>46162</v>
      </c>
      <c r="B197">
        <v>20</v>
      </c>
      <c r="C197" t="s">
        <v>207</v>
      </c>
      <c r="D197" cm="1">
        <f t="array" ref="D197">_xlfn.SWITCH(C197, "JAN", 1, "FEB", 2, "MAR", 3, "APR", 4,"MAY", 5, "JUN",6, "JUL", 7, "AUG", 8, "SEP", 9, "OCT", 10, "NOV", 11, "DEC", 12, "NO")</f>
        <v>5</v>
      </c>
      <c r="E197">
        <v>2026</v>
      </c>
      <c r="F197" t="s">
        <v>564</v>
      </c>
      <c r="G197">
        <f t="shared" si="11"/>
        <v>17</v>
      </c>
      <c r="H197">
        <v>39</v>
      </c>
      <c r="I197" t="s">
        <v>12</v>
      </c>
      <c r="J197">
        <v>1000</v>
      </c>
      <c r="K197" t="s">
        <v>565</v>
      </c>
      <c r="L197" t="s">
        <v>566</v>
      </c>
      <c r="M197" t="str">
        <f t="shared" si="10"/>
        <v>Wednesday</v>
      </c>
    </row>
    <row r="198" spans="1:13" x14ac:dyDescent="0.3">
      <c r="A198" s="4">
        <f t="shared" si="9"/>
        <v>46162</v>
      </c>
      <c r="B198">
        <v>20</v>
      </c>
      <c r="C198" t="s">
        <v>207</v>
      </c>
      <c r="D198" cm="1">
        <f t="array" ref="D198">_xlfn.SWITCH(C198, "JAN", 1, "FEB", 2, "MAR", 3, "APR", 4,"MAY", 5, "JUN",6, "JUL", 7, "AUG", 8, "SEP", 9, "OCT", 10, "NOV", 11, "DEC", 12, "NO")</f>
        <v>5</v>
      </c>
      <c r="E198">
        <v>2026</v>
      </c>
      <c r="F198" t="s">
        <v>567</v>
      </c>
      <c r="G198">
        <f t="shared" si="11"/>
        <v>17</v>
      </c>
      <c r="H198">
        <v>29</v>
      </c>
      <c r="I198" t="s">
        <v>12</v>
      </c>
      <c r="J198">
        <v>1000</v>
      </c>
      <c r="K198" t="s">
        <v>568</v>
      </c>
      <c r="L198" t="s">
        <v>569</v>
      </c>
      <c r="M198" t="str">
        <f t="shared" si="10"/>
        <v>Wednesday</v>
      </c>
    </row>
    <row r="199" spans="1:13" x14ac:dyDescent="0.3">
      <c r="A199" s="4">
        <f t="shared" si="9"/>
        <v>46162</v>
      </c>
      <c r="B199">
        <v>20</v>
      </c>
      <c r="C199" t="s">
        <v>207</v>
      </c>
      <c r="D199" cm="1">
        <f t="array" ref="D199">_xlfn.SWITCH(C199, "JAN", 1, "FEB", 2, "MAR", 3, "APR", 4,"MAY", 5, "JUN",6, "JUL", 7, "AUG", 8, "SEP", 9, "OCT", 10, "NOV", 11, "DEC", 12, "NO")</f>
        <v>5</v>
      </c>
      <c r="E199">
        <v>2026</v>
      </c>
      <c r="F199" t="s">
        <v>570</v>
      </c>
      <c r="G199">
        <f t="shared" si="11"/>
        <v>17</v>
      </c>
      <c r="H199">
        <v>28</v>
      </c>
      <c r="I199" t="s">
        <v>12</v>
      </c>
      <c r="J199">
        <v>980</v>
      </c>
      <c r="K199" t="s">
        <v>571</v>
      </c>
      <c r="L199" t="s">
        <v>572</v>
      </c>
      <c r="M199" t="str">
        <f t="shared" si="10"/>
        <v>Wednesday</v>
      </c>
    </row>
    <row r="200" spans="1:13" x14ac:dyDescent="0.3">
      <c r="A200" s="4">
        <f t="shared" si="9"/>
        <v>46162</v>
      </c>
      <c r="B200">
        <v>20</v>
      </c>
      <c r="C200" t="s">
        <v>207</v>
      </c>
      <c r="D200" cm="1">
        <f t="array" ref="D200">_xlfn.SWITCH(C200, "JAN", 1, "FEB", 2, "MAR", 3, "APR", 4,"MAY", 5, "JUN",6, "JUL", 7, "AUG", 8, "SEP", 9, "OCT", 10, "NOV", 11, "DEC", 12, "NO")</f>
        <v>5</v>
      </c>
      <c r="E200">
        <v>2026</v>
      </c>
      <c r="F200" t="s">
        <v>280</v>
      </c>
      <c r="G200">
        <f t="shared" si="11"/>
        <v>17</v>
      </c>
      <c r="H200">
        <v>17</v>
      </c>
      <c r="I200" t="s">
        <v>12</v>
      </c>
      <c r="J200">
        <v>1000</v>
      </c>
      <c r="K200" t="s">
        <v>573</v>
      </c>
      <c r="L200" t="s">
        <v>574</v>
      </c>
      <c r="M200" t="str">
        <f t="shared" si="10"/>
        <v>Wednesday</v>
      </c>
    </row>
    <row r="201" spans="1:13" x14ac:dyDescent="0.3">
      <c r="A201" s="4">
        <f t="shared" si="9"/>
        <v>46162</v>
      </c>
      <c r="B201">
        <v>20</v>
      </c>
      <c r="C201" t="s">
        <v>207</v>
      </c>
      <c r="D201" cm="1">
        <f t="array" ref="D201">_xlfn.SWITCH(C201, "JAN", 1, "FEB", 2, "MAR", 3, "APR", 4,"MAY", 5, "JUN",6, "JUL", 7, "AUG", 8, "SEP", 9, "OCT", 10, "NOV", 11, "DEC", 12, "NO")</f>
        <v>5</v>
      </c>
      <c r="E201">
        <v>2026</v>
      </c>
      <c r="F201" t="s">
        <v>575</v>
      </c>
      <c r="G201">
        <f t="shared" si="11"/>
        <v>17</v>
      </c>
      <c r="H201">
        <v>7</v>
      </c>
      <c r="I201" t="s">
        <v>12</v>
      </c>
      <c r="J201">
        <v>1000</v>
      </c>
      <c r="K201" t="s">
        <v>576</v>
      </c>
      <c r="L201" t="s">
        <v>577</v>
      </c>
      <c r="M201" t="str">
        <f t="shared" si="10"/>
        <v>Wednesday</v>
      </c>
    </row>
    <row r="202" spans="1:13" x14ac:dyDescent="0.3">
      <c r="A202" s="4">
        <f t="shared" si="9"/>
        <v>46162</v>
      </c>
      <c r="B202">
        <v>20</v>
      </c>
      <c r="C202" t="s">
        <v>207</v>
      </c>
      <c r="D202" cm="1">
        <f t="array" ref="D202">_xlfn.SWITCH(C202, "JAN", 1, "FEB", 2, "MAR", 3, "APR", 4,"MAY", 5, "JUN",6, "JUL", 7, "AUG", 8, "SEP", 9, "OCT", 10, "NOV", 11, "DEC", 12, "NO")</f>
        <v>5</v>
      </c>
      <c r="E202">
        <v>2026</v>
      </c>
      <c r="F202" t="s">
        <v>578</v>
      </c>
      <c r="G202">
        <f t="shared" si="11"/>
        <v>16</v>
      </c>
      <c r="H202">
        <v>52</v>
      </c>
      <c r="I202" t="s">
        <v>12</v>
      </c>
      <c r="J202">
        <v>1000</v>
      </c>
      <c r="K202" t="s">
        <v>579</v>
      </c>
      <c r="L202" t="s">
        <v>580</v>
      </c>
      <c r="M202" t="str">
        <f t="shared" si="10"/>
        <v>Wednesday</v>
      </c>
    </row>
    <row r="203" spans="1:13" x14ac:dyDescent="0.3">
      <c r="A203" s="4">
        <f t="shared" si="9"/>
        <v>46162</v>
      </c>
      <c r="B203">
        <v>20</v>
      </c>
      <c r="C203" t="s">
        <v>207</v>
      </c>
      <c r="D203" cm="1">
        <f t="array" ref="D203">_xlfn.SWITCH(C203, "JAN", 1, "FEB", 2, "MAR", 3, "APR", 4,"MAY", 5, "JUN",6, "JUL", 7, "AUG", 8, "SEP", 9, "OCT", 10, "NOV", 11, "DEC", 12, "NO")</f>
        <v>5</v>
      </c>
      <c r="E203">
        <v>2026</v>
      </c>
      <c r="F203" t="s">
        <v>581</v>
      </c>
      <c r="G203">
        <f t="shared" si="11"/>
        <v>16</v>
      </c>
      <c r="H203">
        <v>11</v>
      </c>
      <c r="I203" t="s">
        <v>12</v>
      </c>
      <c r="J203">
        <v>985</v>
      </c>
      <c r="K203" t="s">
        <v>582</v>
      </c>
      <c r="L203" t="s">
        <v>583</v>
      </c>
      <c r="M203" t="str">
        <f t="shared" si="10"/>
        <v>Wednesday</v>
      </c>
    </row>
    <row r="204" spans="1:13" x14ac:dyDescent="0.3">
      <c r="A204" s="4">
        <f t="shared" si="9"/>
        <v>46162</v>
      </c>
      <c r="B204">
        <v>20</v>
      </c>
      <c r="C204" t="s">
        <v>207</v>
      </c>
      <c r="D204" cm="1">
        <f t="array" ref="D204">_xlfn.SWITCH(C204, "JAN", 1, "FEB", 2, "MAR", 3, "APR", 4,"MAY", 5, "JUN",6, "JUL", 7, "AUG", 8, "SEP", 9, "OCT", 10, "NOV", 11, "DEC", 12, "NO")</f>
        <v>5</v>
      </c>
      <c r="E204">
        <v>2026</v>
      </c>
      <c r="F204" t="s">
        <v>129</v>
      </c>
      <c r="G204">
        <f t="shared" si="11"/>
        <v>15</v>
      </c>
      <c r="H204">
        <v>54</v>
      </c>
      <c r="I204" t="s">
        <v>12</v>
      </c>
      <c r="J204">
        <v>1000</v>
      </c>
      <c r="K204" t="s">
        <v>584</v>
      </c>
      <c r="L204" t="s">
        <v>585</v>
      </c>
      <c r="M204" t="str">
        <f t="shared" si="10"/>
        <v>Wednesday</v>
      </c>
    </row>
    <row r="205" spans="1:13" x14ac:dyDescent="0.3">
      <c r="A205" s="4">
        <f t="shared" si="9"/>
        <v>46162</v>
      </c>
      <c r="B205">
        <v>20</v>
      </c>
      <c r="C205" t="s">
        <v>207</v>
      </c>
      <c r="D205" cm="1">
        <f t="array" ref="D205">_xlfn.SWITCH(C205, "JAN", 1, "FEB", 2, "MAR", 3, "APR", 4,"MAY", 5, "JUN",6, "JUL", 7, "AUG", 8, "SEP", 9, "OCT", 10, "NOV", 11, "DEC", 12, "NO")</f>
        <v>5</v>
      </c>
      <c r="E205">
        <v>2026</v>
      </c>
      <c r="F205" t="s">
        <v>129</v>
      </c>
      <c r="G205">
        <f t="shared" si="11"/>
        <v>15</v>
      </c>
      <c r="H205">
        <v>54</v>
      </c>
      <c r="I205" t="s">
        <v>12</v>
      </c>
      <c r="J205">
        <v>1000</v>
      </c>
      <c r="K205" t="s">
        <v>586</v>
      </c>
      <c r="L205" t="s">
        <v>587</v>
      </c>
      <c r="M205" t="str">
        <f t="shared" si="10"/>
        <v>Wednesday</v>
      </c>
    </row>
    <row r="206" spans="1:13" x14ac:dyDescent="0.3">
      <c r="A206" s="4">
        <f t="shared" si="9"/>
        <v>46162</v>
      </c>
      <c r="B206">
        <v>20</v>
      </c>
      <c r="C206" t="s">
        <v>207</v>
      </c>
      <c r="D206" cm="1">
        <f t="array" ref="D206">_xlfn.SWITCH(C206, "JAN", 1, "FEB", 2, "MAR", 3, "APR", 4,"MAY", 5, "JUN",6, "JUL", 7, "AUG", 8, "SEP", 9, "OCT", 10, "NOV", 11, "DEC", 12, "NO")</f>
        <v>5</v>
      </c>
      <c r="E206">
        <v>2026</v>
      </c>
      <c r="F206" t="s">
        <v>251</v>
      </c>
      <c r="G206">
        <f t="shared" si="11"/>
        <v>15</v>
      </c>
      <c r="H206">
        <v>45</v>
      </c>
      <c r="I206" t="s">
        <v>12</v>
      </c>
      <c r="J206">
        <v>1000</v>
      </c>
      <c r="K206" t="s">
        <v>588</v>
      </c>
      <c r="L206" t="s">
        <v>589</v>
      </c>
      <c r="M206" t="str">
        <f t="shared" si="10"/>
        <v>Wednesday</v>
      </c>
    </row>
    <row r="207" spans="1:13" x14ac:dyDescent="0.3">
      <c r="A207" s="4">
        <f t="shared" si="9"/>
        <v>46162</v>
      </c>
      <c r="B207">
        <v>20</v>
      </c>
      <c r="C207" t="s">
        <v>207</v>
      </c>
      <c r="D207" cm="1">
        <f t="array" ref="D207">_xlfn.SWITCH(C207, "JAN", 1, "FEB", 2, "MAR", 3, "APR", 4,"MAY", 5, "JUN",6, "JUL", 7, "AUG", 8, "SEP", 9, "OCT", 10, "NOV", 11, "DEC", 12, "NO")</f>
        <v>5</v>
      </c>
      <c r="E207">
        <v>2026</v>
      </c>
      <c r="F207" t="s">
        <v>590</v>
      </c>
      <c r="G207">
        <f t="shared" si="11"/>
        <v>15</v>
      </c>
      <c r="H207">
        <v>29</v>
      </c>
      <c r="I207" t="s">
        <v>12</v>
      </c>
      <c r="J207">
        <v>1000</v>
      </c>
      <c r="K207" t="s">
        <v>591</v>
      </c>
      <c r="L207" t="s">
        <v>592</v>
      </c>
      <c r="M207" t="str">
        <f t="shared" si="10"/>
        <v>Wednesday</v>
      </c>
    </row>
    <row r="208" spans="1:13" x14ac:dyDescent="0.3">
      <c r="A208" s="4">
        <f t="shared" si="9"/>
        <v>46162</v>
      </c>
      <c r="B208">
        <v>20</v>
      </c>
      <c r="C208" t="s">
        <v>207</v>
      </c>
      <c r="D208" cm="1">
        <f t="array" ref="D208">_xlfn.SWITCH(C208, "JAN", 1, "FEB", 2, "MAR", 3, "APR", 4,"MAY", 5, "JUN",6, "JUL", 7, "AUG", 8, "SEP", 9, "OCT", 10, "NOV", 11, "DEC", 12, "NO")</f>
        <v>5</v>
      </c>
      <c r="E208">
        <v>2026</v>
      </c>
      <c r="F208" t="s">
        <v>593</v>
      </c>
      <c r="G208">
        <f t="shared" si="11"/>
        <v>15</v>
      </c>
      <c r="H208">
        <v>1</v>
      </c>
      <c r="I208" t="s">
        <v>12</v>
      </c>
      <c r="J208">
        <v>1000</v>
      </c>
      <c r="K208" t="s">
        <v>594</v>
      </c>
      <c r="L208" t="s">
        <v>595</v>
      </c>
      <c r="M208" t="str">
        <f t="shared" si="10"/>
        <v>Wednesday</v>
      </c>
    </row>
    <row r="209" spans="1:13" x14ac:dyDescent="0.3">
      <c r="A209" s="4">
        <f t="shared" si="9"/>
        <v>46162</v>
      </c>
      <c r="B209">
        <v>20</v>
      </c>
      <c r="C209" t="s">
        <v>207</v>
      </c>
      <c r="D209" cm="1">
        <f t="array" ref="D209">_xlfn.SWITCH(C209, "JAN", 1, "FEB", 2, "MAR", 3, "APR", 4,"MAY", 5, "JUN",6, "JUL", 7, "AUG", 8, "SEP", 9, "OCT", 10, "NOV", 11, "DEC", 12, "NO")</f>
        <v>5</v>
      </c>
      <c r="E209">
        <v>2026</v>
      </c>
      <c r="F209" t="s">
        <v>353</v>
      </c>
      <c r="G209">
        <f t="shared" si="11"/>
        <v>14</v>
      </c>
      <c r="H209">
        <v>55</v>
      </c>
      <c r="I209" t="s">
        <v>12</v>
      </c>
      <c r="J209">
        <v>1000</v>
      </c>
      <c r="K209" t="s">
        <v>596</v>
      </c>
      <c r="L209" t="s">
        <v>597</v>
      </c>
      <c r="M209" t="str">
        <f t="shared" si="10"/>
        <v>Wednesday</v>
      </c>
    </row>
    <row r="210" spans="1:13" x14ac:dyDescent="0.3">
      <c r="A210" s="4">
        <f t="shared" si="9"/>
        <v>46162</v>
      </c>
      <c r="B210">
        <v>20</v>
      </c>
      <c r="C210" t="s">
        <v>207</v>
      </c>
      <c r="D210" cm="1">
        <f t="array" ref="D210">_xlfn.SWITCH(C210, "JAN", 1, "FEB", 2, "MAR", 3, "APR", 4,"MAY", 5, "JUN",6, "JUL", 7, "AUG", 8, "SEP", 9, "OCT", 10, "NOV", 11, "DEC", 12, "NO")</f>
        <v>5</v>
      </c>
      <c r="E210">
        <v>2026</v>
      </c>
      <c r="F210" t="s">
        <v>598</v>
      </c>
      <c r="G210">
        <f t="shared" si="11"/>
        <v>14</v>
      </c>
      <c r="H210">
        <v>33</v>
      </c>
      <c r="I210" t="s">
        <v>12</v>
      </c>
      <c r="J210">
        <v>1000</v>
      </c>
      <c r="K210" t="s">
        <v>599</v>
      </c>
      <c r="L210" t="s">
        <v>600</v>
      </c>
      <c r="M210" t="str">
        <f t="shared" si="10"/>
        <v>Wednesday</v>
      </c>
    </row>
    <row r="211" spans="1:13" x14ac:dyDescent="0.3">
      <c r="A211" s="4">
        <f t="shared" si="9"/>
        <v>46162</v>
      </c>
      <c r="B211">
        <v>20</v>
      </c>
      <c r="C211" t="s">
        <v>207</v>
      </c>
      <c r="D211" cm="1">
        <f t="array" ref="D211">_xlfn.SWITCH(C211, "JAN", 1, "FEB", 2, "MAR", 3, "APR", 4,"MAY", 5, "JUN",6, "JUL", 7, "AUG", 8, "SEP", 9, "OCT", 10, "NOV", 11, "DEC", 12, "NO")</f>
        <v>5</v>
      </c>
      <c r="E211">
        <v>2026</v>
      </c>
      <c r="F211" t="s">
        <v>601</v>
      </c>
      <c r="G211">
        <f t="shared" si="11"/>
        <v>14</v>
      </c>
      <c r="H211">
        <v>32</v>
      </c>
      <c r="I211" t="s">
        <v>12</v>
      </c>
      <c r="J211">
        <v>1000</v>
      </c>
      <c r="K211" t="s">
        <v>602</v>
      </c>
      <c r="L211" t="s">
        <v>603</v>
      </c>
      <c r="M211" t="str">
        <f t="shared" si="10"/>
        <v>Wednesday</v>
      </c>
    </row>
    <row r="212" spans="1:13" x14ac:dyDescent="0.3">
      <c r="A212" s="4">
        <f t="shared" si="9"/>
        <v>46162</v>
      </c>
      <c r="B212">
        <v>20</v>
      </c>
      <c r="C212" t="s">
        <v>207</v>
      </c>
      <c r="D212" cm="1">
        <f t="array" ref="D212">_xlfn.SWITCH(C212, "JAN", 1, "FEB", 2, "MAR", 3, "APR", 4,"MAY", 5, "JUN",6, "JUL", 7, "AUG", 8, "SEP", 9, "OCT", 10, "NOV", 11, "DEC", 12, "NO")</f>
        <v>5</v>
      </c>
      <c r="E212">
        <v>2026</v>
      </c>
      <c r="F212" t="s">
        <v>547</v>
      </c>
      <c r="G212">
        <f t="shared" si="11"/>
        <v>14</v>
      </c>
      <c r="H212">
        <v>9</v>
      </c>
      <c r="I212" t="s">
        <v>12</v>
      </c>
      <c r="J212">
        <v>1000</v>
      </c>
      <c r="K212" t="s">
        <v>604</v>
      </c>
      <c r="L212" t="s">
        <v>605</v>
      </c>
      <c r="M212" t="str">
        <f t="shared" si="10"/>
        <v>Wednesday</v>
      </c>
    </row>
    <row r="213" spans="1:13" x14ac:dyDescent="0.3">
      <c r="A213" s="4">
        <f t="shared" si="9"/>
        <v>46162</v>
      </c>
      <c r="B213">
        <v>20</v>
      </c>
      <c r="C213" t="s">
        <v>207</v>
      </c>
      <c r="D213" cm="1">
        <f t="array" ref="D213">_xlfn.SWITCH(C213, "JAN", 1, "FEB", 2, "MAR", 3, "APR", 4,"MAY", 5, "JUN",6, "JUL", 7, "AUG", 8, "SEP", 9, "OCT", 10, "NOV", 11, "DEC", 12, "NO")</f>
        <v>5</v>
      </c>
      <c r="E213">
        <v>2026</v>
      </c>
      <c r="F213" t="s">
        <v>606</v>
      </c>
      <c r="G213">
        <f t="shared" si="11"/>
        <v>10</v>
      </c>
      <c r="H213">
        <v>49</v>
      </c>
      <c r="I213" t="s">
        <v>84</v>
      </c>
      <c r="J213">
        <v>235</v>
      </c>
      <c r="K213" t="s">
        <v>607</v>
      </c>
      <c r="L213" t="s">
        <v>608</v>
      </c>
      <c r="M213" t="str">
        <f t="shared" si="10"/>
        <v>Wednesday</v>
      </c>
    </row>
    <row r="214" spans="1:13" x14ac:dyDescent="0.3">
      <c r="A214" s="4">
        <f t="shared" si="9"/>
        <v>46162</v>
      </c>
      <c r="B214">
        <v>20</v>
      </c>
      <c r="C214" t="s">
        <v>207</v>
      </c>
      <c r="D214" cm="1">
        <f t="array" ref="D214">_xlfn.SWITCH(C214, "JAN", 1, "FEB", 2, "MAR", 3, "APR", 4,"MAY", 5, "JUN",6, "JUL", 7, "AUG", 8, "SEP", 9, "OCT", 10, "NOV", 11, "DEC", 12, "NO")</f>
        <v>5</v>
      </c>
      <c r="E214">
        <v>2026</v>
      </c>
      <c r="F214" t="s">
        <v>609</v>
      </c>
      <c r="G214">
        <f t="shared" si="11"/>
        <v>7</v>
      </c>
      <c r="H214">
        <v>42</v>
      </c>
      <c r="I214" t="s">
        <v>84</v>
      </c>
      <c r="J214">
        <v>2500</v>
      </c>
      <c r="K214" t="s">
        <v>610</v>
      </c>
      <c r="L214" t="s">
        <v>611</v>
      </c>
      <c r="M214" t="str">
        <f t="shared" si="10"/>
        <v>Wednesday</v>
      </c>
    </row>
    <row r="215" spans="1:13" x14ac:dyDescent="0.3">
      <c r="A215" s="4">
        <f t="shared" si="9"/>
        <v>46162</v>
      </c>
      <c r="B215">
        <v>20</v>
      </c>
      <c r="C215" t="s">
        <v>207</v>
      </c>
      <c r="D215" cm="1">
        <f t="array" ref="D215">_xlfn.SWITCH(C215, "JAN", 1, "FEB", 2, "MAR", 3, "APR", 4,"MAY", 5, "JUN",6, "JUL", 7, "AUG", 8, "SEP", 9, "OCT", 10, "NOV", 11, "DEC", 12, "NO")</f>
        <v>5</v>
      </c>
      <c r="E215">
        <v>2026</v>
      </c>
      <c r="F215" t="s">
        <v>612</v>
      </c>
      <c r="G215">
        <f t="shared" si="11"/>
        <v>7</v>
      </c>
      <c r="H215">
        <v>35</v>
      </c>
      <c r="I215" t="s">
        <v>12</v>
      </c>
      <c r="J215">
        <v>2500</v>
      </c>
      <c r="K215" t="s">
        <v>613</v>
      </c>
      <c r="L215" t="s">
        <v>614</v>
      </c>
      <c r="M215" t="str">
        <f t="shared" si="10"/>
        <v>Wednesday</v>
      </c>
    </row>
    <row r="216" spans="1:13" x14ac:dyDescent="0.3">
      <c r="A216" s="4">
        <f t="shared" si="9"/>
        <v>46161</v>
      </c>
      <c r="B216">
        <v>19</v>
      </c>
      <c r="C216" t="s">
        <v>207</v>
      </c>
      <c r="D216" cm="1">
        <f t="array" ref="D216">_xlfn.SWITCH(C216, "JAN", 1, "FEB", 2, "MAR", 3, "APR", 4,"MAY", 5, "JUN",6, "JUL", 7, "AUG", 8, "SEP", 9, "OCT", 10, "NOV", 11, "DEC", 12, "NO")</f>
        <v>5</v>
      </c>
      <c r="E216">
        <v>2026</v>
      </c>
      <c r="F216" t="s">
        <v>615</v>
      </c>
      <c r="G216">
        <f t="shared" si="11"/>
        <v>21</v>
      </c>
      <c r="H216">
        <v>14</v>
      </c>
      <c r="I216" t="s">
        <v>84</v>
      </c>
      <c r="J216">
        <v>965</v>
      </c>
      <c r="K216" t="s">
        <v>616</v>
      </c>
      <c r="L216" t="s">
        <v>617</v>
      </c>
      <c r="M216" t="str">
        <f t="shared" si="10"/>
        <v>Tuesday</v>
      </c>
    </row>
    <row r="217" spans="1:13" x14ac:dyDescent="0.3">
      <c r="A217" s="4">
        <f t="shared" si="9"/>
        <v>46161</v>
      </c>
      <c r="B217">
        <v>19</v>
      </c>
      <c r="C217" t="s">
        <v>207</v>
      </c>
      <c r="D217" cm="1">
        <f t="array" ref="D217">_xlfn.SWITCH(C217, "JAN", 1, "FEB", 2, "MAR", 3, "APR", 4,"MAY", 5, "JUN",6, "JUL", 7, "AUG", 8, "SEP", 9, "OCT", 10, "NOV", 11, "DEC", 12, "NO")</f>
        <v>5</v>
      </c>
      <c r="E217">
        <v>2026</v>
      </c>
      <c r="F217" t="s">
        <v>618</v>
      </c>
      <c r="G217">
        <f t="shared" si="11"/>
        <v>19</v>
      </c>
      <c r="H217">
        <v>43</v>
      </c>
      <c r="I217" t="s">
        <v>84</v>
      </c>
      <c r="J217">
        <v>13510</v>
      </c>
      <c r="K217" t="s">
        <v>619</v>
      </c>
      <c r="L217" t="s">
        <v>620</v>
      </c>
      <c r="M217" t="str">
        <f t="shared" si="10"/>
        <v>Tuesday</v>
      </c>
    </row>
    <row r="218" spans="1:13" x14ac:dyDescent="0.3">
      <c r="A218" s="4">
        <f t="shared" si="9"/>
        <v>46161</v>
      </c>
      <c r="B218">
        <v>19</v>
      </c>
      <c r="C218" t="s">
        <v>207</v>
      </c>
      <c r="D218" cm="1">
        <f t="array" ref="D218">_xlfn.SWITCH(C218, "JAN", 1, "FEB", 2, "MAR", 3, "APR", 4,"MAY", 5, "JUN",6, "JUL", 7, "AUG", 8, "SEP", 9, "OCT", 10, "NOV", 11, "DEC", 12, "NO")</f>
        <v>5</v>
      </c>
      <c r="E218">
        <v>2026</v>
      </c>
      <c r="F218" t="s">
        <v>621</v>
      </c>
      <c r="G218">
        <f t="shared" si="11"/>
        <v>19</v>
      </c>
      <c r="H218">
        <v>41</v>
      </c>
      <c r="I218" t="s">
        <v>12</v>
      </c>
      <c r="J218">
        <v>50</v>
      </c>
      <c r="K218" t="s">
        <v>622</v>
      </c>
      <c r="L218" t="s">
        <v>623</v>
      </c>
      <c r="M218" t="str">
        <f t="shared" si="10"/>
        <v>Tuesday</v>
      </c>
    </row>
    <row r="219" spans="1:13" x14ac:dyDescent="0.3">
      <c r="A219" s="4">
        <f t="shared" si="9"/>
        <v>46161</v>
      </c>
      <c r="B219">
        <v>19</v>
      </c>
      <c r="C219" t="s">
        <v>207</v>
      </c>
      <c r="D219" cm="1">
        <f t="array" ref="D219">_xlfn.SWITCH(C219, "JAN", 1, "FEB", 2, "MAR", 3, "APR", 4,"MAY", 5, "JUN",6, "JUL", 7, "AUG", 8, "SEP", 9, "OCT", 10, "NOV", 11, "DEC", 12, "NO")</f>
        <v>5</v>
      </c>
      <c r="E219">
        <v>2026</v>
      </c>
      <c r="F219" t="s">
        <v>261</v>
      </c>
      <c r="G219">
        <f t="shared" si="11"/>
        <v>18</v>
      </c>
      <c r="H219">
        <v>50</v>
      </c>
      <c r="I219" t="s">
        <v>12</v>
      </c>
      <c r="J219">
        <v>1000</v>
      </c>
      <c r="K219" t="s">
        <v>624</v>
      </c>
      <c r="L219" t="s">
        <v>625</v>
      </c>
      <c r="M219" t="str">
        <f t="shared" si="10"/>
        <v>Tuesday</v>
      </c>
    </row>
    <row r="220" spans="1:13" x14ac:dyDescent="0.3">
      <c r="A220" s="4">
        <f t="shared" si="9"/>
        <v>46161</v>
      </c>
      <c r="B220">
        <v>19</v>
      </c>
      <c r="C220" t="s">
        <v>207</v>
      </c>
      <c r="D220" cm="1">
        <f t="array" ref="D220">_xlfn.SWITCH(C220, "JAN", 1, "FEB", 2, "MAR", 3, "APR", 4,"MAY", 5, "JUN",6, "JUL", 7, "AUG", 8, "SEP", 9, "OCT", 10, "NOV", 11, "DEC", 12, "NO")</f>
        <v>5</v>
      </c>
      <c r="E220">
        <v>2026</v>
      </c>
      <c r="F220" t="s">
        <v>626</v>
      </c>
      <c r="G220">
        <f t="shared" si="11"/>
        <v>18</v>
      </c>
      <c r="H220">
        <v>48</v>
      </c>
      <c r="I220" t="s">
        <v>12</v>
      </c>
      <c r="J220">
        <v>1000</v>
      </c>
      <c r="K220" t="s">
        <v>627</v>
      </c>
      <c r="L220" t="s">
        <v>628</v>
      </c>
      <c r="M220" t="str">
        <f t="shared" si="10"/>
        <v>Tuesday</v>
      </c>
    </row>
    <row r="221" spans="1:13" x14ac:dyDescent="0.3">
      <c r="A221" s="4">
        <f t="shared" si="9"/>
        <v>46161</v>
      </c>
      <c r="B221">
        <v>19</v>
      </c>
      <c r="C221" t="s">
        <v>207</v>
      </c>
      <c r="D221" cm="1">
        <f t="array" ref="D221">_xlfn.SWITCH(C221, "JAN", 1, "FEB", 2, "MAR", 3, "APR", 4,"MAY", 5, "JUN",6, "JUL", 7, "AUG", 8, "SEP", 9, "OCT", 10, "NOV", 11, "DEC", 12, "NO")</f>
        <v>5</v>
      </c>
      <c r="E221">
        <v>2026</v>
      </c>
      <c r="F221" t="s">
        <v>629</v>
      </c>
      <c r="G221">
        <f t="shared" si="11"/>
        <v>18</v>
      </c>
      <c r="H221">
        <v>33</v>
      </c>
      <c r="I221" t="s">
        <v>12</v>
      </c>
      <c r="J221">
        <v>3500</v>
      </c>
      <c r="K221" t="s">
        <v>630</v>
      </c>
      <c r="L221" t="s">
        <v>631</v>
      </c>
      <c r="M221" t="str">
        <f t="shared" si="10"/>
        <v>Tuesday</v>
      </c>
    </row>
    <row r="222" spans="1:13" x14ac:dyDescent="0.3">
      <c r="A222" s="4">
        <f t="shared" si="9"/>
        <v>46161</v>
      </c>
      <c r="B222">
        <v>19</v>
      </c>
      <c r="C222" t="s">
        <v>207</v>
      </c>
      <c r="D222" cm="1">
        <f t="array" ref="D222">_xlfn.SWITCH(C222, "JAN", 1, "FEB", 2, "MAR", 3, "APR", 4,"MAY", 5, "JUN",6, "JUL", 7, "AUG", 8, "SEP", 9, "OCT", 10, "NOV", 11, "DEC", 12, "NO")</f>
        <v>5</v>
      </c>
      <c r="E222">
        <v>2026</v>
      </c>
      <c r="F222" t="s">
        <v>447</v>
      </c>
      <c r="G222">
        <f t="shared" si="11"/>
        <v>18</v>
      </c>
      <c r="H222">
        <v>28</v>
      </c>
      <c r="I222" t="s">
        <v>12</v>
      </c>
      <c r="J222">
        <v>1000</v>
      </c>
      <c r="K222" t="s">
        <v>632</v>
      </c>
      <c r="L222" t="s">
        <v>633</v>
      </c>
      <c r="M222" t="str">
        <f t="shared" si="10"/>
        <v>Tuesday</v>
      </c>
    </row>
    <row r="223" spans="1:13" x14ac:dyDescent="0.3">
      <c r="A223" s="4">
        <f t="shared" si="9"/>
        <v>46161</v>
      </c>
      <c r="B223">
        <v>19</v>
      </c>
      <c r="C223" t="s">
        <v>207</v>
      </c>
      <c r="D223" cm="1">
        <f t="array" ref="D223">_xlfn.SWITCH(C223, "JAN", 1, "FEB", 2, "MAR", 3, "APR", 4,"MAY", 5, "JUN",6, "JUL", 7, "AUG", 8, "SEP", 9, "OCT", 10, "NOV", 11, "DEC", 12, "NO")</f>
        <v>5</v>
      </c>
      <c r="E223">
        <v>2026</v>
      </c>
      <c r="F223" t="s">
        <v>634</v>
      </c>
      <c r="G223">
        <f t="shared" si="11"/>
        <v>18</v>
      </c>
      <c r="H223">
        <v>7</v>
      </c>
      <c r="I223" t="s">
        <v>12</v>
      </c>
      <c r="J223">
        <v>1000</v>
      </c>
      <c r="K223" t="s">
        <v>635</v>
      </c>
      <c r="L223" t="s">
        <v>636</v>
      </c>
      <c r="M223" t="str">
        <f t="shared" si="10"/>
        <v>Tuesday</v>
      </c>
    </row>
    <row r="224" spans="1:13" x14ac:dyDescent="0.3">
      <c r="A224" s="4">
        <f t="shared" si="9"/>
        <v>46161</v>
      </c>
      <c r="B224">
        <v>19</v>
      </c>
      <c r="C224" t="s">
        <v>207</v>
      </c>
      <c r="D224" cm="1">
        <f t="array" ref="D224">_xlfn.SWITCH(C224, "JAN", 1, "FEB", 2, "MAR", 3, "APR", 4,"MAY", 5, "JUN",6, "JUL", 7, "AUG", 8, "SEP", 9, "OCT", 10, "NOV", 11, "DEC", 12, "NO")</f>
        <v>5</v>
      </c>
      <c r="E224">
        <v>2026</v>
      </c>
      <c r="F224" t="s">
        <v>637</v>
      </c>
      <c r="G224">
        <f t="shared" si="11"/>
        <v>17</v>
      </c>
      <c r="H224">
        <v>57</v>
      </c>
      <c r="I224" t="s">
        <v>12</v>
      </c>
      <c r="J224">
        <v>1000</v>
      </c>
      <c r="K224" t="s">
        <v>638</v>
      </c>
      <c r="L224" t="s">
        <v>639</v>
      </c>
      <c r="M224" t="str">
        <f t="shared" si="10"/>
        <v>Tuesday</v>
      </c>
    </row>
    <row r="225" spans="1:13" x14ac:dyDescent="0.3">
      <c r="A225" s="4">
        <f t="shared" si="9"/>
        <v>46161</v>
      </c>
      <c r="B225">
        <v>19</v>
      </c>
      <c r="C225" t="s">
        <v>207</v>
      </c>
      <c r="D225" cm="1">
        <f t="array" ref="D225">_xlfn.SWITCH(C225, "JAN", 1, "FEB", 2, "MAR", 3, "APR", 4,"MAY", 5, "JUN",6, "JUL", 7, "AUG", 8, "SEP", 9, "OCT", 10, "NOV", 11, "DEC", 12, "NO")</f>
        <v>5</v>
      </c>
      <c r="E225">
        <v>2026</v>
      </c>
      <c r="F225" t="s">
        <v>640</v>
      </c>
      <c r="G225">
        <f t="shared" si="11"/>
        <v>17</v>
      </c>
      <c r="H225">
        <v>48</v>
      </c>
      <c r="I225" t="s">
        <v>12</v>
      </c>
      <c r="J225">
        <v>1000</v>
      </c>
      <c r="K225" t="s">
        <v>641</v>
      </c>
      <c r="L225" t="s">
        <v>642</v>
      </c>
      <c r="M225" t="str">
        <f t="shared" si="10"/>
        <v>Tuesday</v>
      </c>
    </row>
    <row r="226" spans="1:13" x14ac:dyDescent="0.3">
      <c r="A226" s="4">
        <f t="shared" si="9"/>
        <v>46161</v>
      </c>
      <c r="B226">
        <v>19</v>
      </c>
      <c r="C226" t="s">
        <v>207</v>
      </c>
      <c r="D226" cm="1">
        <f t="array" ref="D226">_xlfn.SWITCH(C226, "JAN", 1, "FEB", 2, "MAR", 3, "APR", 4,"MAY", 5, "JUN",6, "JUL", 7, "AUG", 8, "SEP", 9, "OCT", 10, "NOV", 11, "DEC", 12, "NO")</f>
        <v>5</v>
      </c>
      <c r="E226">
        <v>2026</v>
      </c>
      <c r="F226" t="s">
        <v>643</v>
      </c>
      <c r="G226">
        <f t="shared" si="11"/>
        <v>17</v>
      </c>
      <c r="H226">
        <v>37</v>
      </c>
      <c r="I226" t="s">
        <v>12</v>
      </c>
      <c r="J226">
        <v>1000</v>
      </c>
      <c r="K226" t="s">
        <v>644</v>
      </c>
      <c r="L226" t="s">
        <v>645</v>
      </c>
      <c r="M226" t="str">
        <f t="shared" si="10"/>
        <v>Tuesday</v>
      </c>
    </row>
    <row r="227" spans="1:13" x14ac:dyDescent="0.3">
      <c r="A227" s="4">
        <f t="shared" si="9"/>
        <v>46161</v>
      </c>
      <c r="B227">
        <v>19</v>
      </c>
      <c r="C227" t="s">
        <v>207</v>
      </c>
      <c r="D227" cm="1">
        <f t="array" ref="D227">_xlfn.SWITCH(C227, "JAN", 1, "FEB", 2, "MAR", 3, "APR", 4,"MAY", 5, "JUN",6, "JUL", 7, "AUG", 8, "SEP", 9, "OCT", 10, "NOV", 11, "DEC", 12, "NO")</f>
        <v>5</v>
      </c>
      <c r="E227">
        <v>2026</v>
      </c>
      <c r="F227" t="s">
        <v>643</v>
      </c>
      <c r="G227">
        <f t="shared" si="11"/>
        <v>17</v>
      </c>
      <c r="H227">
        <v>37</v>
      </c>
      <c r="I227" t="s">
        <v>12</v>
      </c>
      <c r="J227">
        <v>1000</v>
      </c>
      <c r="K227" t="s">
        <v>646</v>
      </c>
      <c r="L227" t="s">
        <v>647</v>
      </c>
      <c r="M227" t="str">
        <f t="shared" si="10"/>
        <v>Tuesday</v>
      </c>
    </row>
    <row r="228" spans="1:13" x14ac:dyDescent="0.3">
      <c r="A228" s="4">
        <f t="shared" si="9"/>
        <v>46161</v>
      </c>
      <c r="B228">
        <v>19</v>
      </c>
      <c r="C228" t="s">
        <v>207</v>
      </c>
      <c r="D228" cm="1">
        <f t="array" ref="D228">_xlfn.SWITCH(C228, "JAN", 1, "FEB", 2, "MAR", 3, "APR", 4,"MAY", 5, "JUN",6, "JUL", 7, "AUG", 8, "SEP", 9, "OCT", 10, "NOV", 11, "DEC", 12, "NO")</f>
        <v>5</v>
      </c>
      <c r="E228">
        <v>2026</v>
      </c>
      <c r="F228" t="s">
        <v>325</v>
      </c>
      <c r="G228">
        <f t="shared" si="11"/>
        <v>17</v>
      </c>
      <c r="H228">
        <v>25</v>
      </c>
      <c r="I228" t="s">
        <v>12</v>
      </c>
      <c r="J228">
        <v>1000</v>
      </c>
      <c r="K228" t="s">
        <v>648</v>
      </c>
      <c r="L228" t="s">
        <v>649</v>
      </c>
      <c r="M228" t="str">
        <f t="shared" si="10"/>
        <v>Tuesday</v>
      </c>
    </row>
    <row r="229" spans="1:13" x14ac:dyDescent="0.3">
      <c r="A229" s="4">
        <f t="shared" si="9"/>
        <v>46161</v>
      </c>
      <c r="B229">
        <v>19</v>
      </c>
      <c r="C229" t="s">
        <v>207</v>
      </c>
      <c r="D229" cm="1">
        <f t="array" ref="D229">_xlfn.SWITCH(C229, "JAN", 1, "FEB", 2, "MAR", 3, "APR", 4,"MAY", 5, "JUN",6, "JUL", 7, "AUG", 8, "SEP", 9, "OCT", 10, "NOV", 11, "DEC", 12, "NO")</f>
        <v>5</v>
      </c>
      <c r="E229">
        <v>2026</v>
      </c>
      <c r="F229" t="s">
        <v>650</v>
      </c>
      <c r="G229">
        <f t="shared" si="11"/>
        <v>17</v>
      </c>
      <c r="H229">
        <v>1</v>
      </c>
      <c r="I229" t="s">
        <v>12</v>
      </c>
      <c r="J229">
        <v>970</v>
      </c>
      <c r="K229" t="s">
        <v>651</v>
      </c>
      <c r="L229" t="s">
        <v>652</v>
      </c>
      <c r="M229" t="str">
        <f t="shared" si="10"/>
        <v>Tuesday</v>
      </c>
    </row>
    <row r="230" spans="1:13" x14ac:dyDescent="0.3">
      <c r="A230" s="4">
        <f t="shared" si="9"/>
        <v>46158</v>
      </c>
      <c r="B230">
        <v>16</v>
      </c>
      <c r="C230" t="s">
        <v>207</v>
      </c>
      <c r="D230" cm="1">
        <f t="array" ref="D230">_xlfn.SWITCH(C230, "JAN", 1, "FEB", 2, "MAR", 3, "APR", 4,"MAY", 5, "JUN",6, "JUL", 7, "AUG", 8, "SEP", 9, "OCT", 10, "NOV", 11, "DEC", 12, "NO")</f>
        <v>5</v>
      </c>
      <c r="E230">
        <v>2026</v>
      </c>
      <c r="F230" t="s">
        <v>232</v>
      </c>
      <c r="G230">
        <f t="shared" si="11"/>
        <v>19</v>
      </c>
      <c r="H230">
        <v>38</v>
      </c>
      <c r="I230" t="s">
        <v>84</v>
      </c>
      <c r="J230">
        <v>18335</v>
      </c>
      <c r="K230" t="s">
        <v>653</v>
      </c>
      <c r="L230" t="s">
        <v>654</v>
      </c>
      <c r="M230" t="str">
        <f t="shared" si="10"/>
        <v>Saturday</v>
      </c>
    </row>
    <row r="231" spans="1:13" x14ac:dyDescent="0.3">
      <c r="A231" s="4">
        <f t="shared" si="9"/>
        <v>46158</v>
      </c>
      <c r="B231">
        <v>16</v>
      </c>
      <c r="C231" t="s">
        <v>207</v>
      </c>
      <c r="D231" cm="1">
        <f t="array" ref="D231">_xlfn.SWITCH(C231, "JAN", 1, "FEB", 2, "MAR", 3, "APR", 4,"MAY", 5, "JUN",6, "JUL", 7, "AUG", 8, "SEP", 9, "OCT", 10, "NOV", 11, "DEC", 12, "NO")</f>
        <v>5</v>
      </c>
      <c r="E231">
        <v>2026</v>
      </c>
      <c r="F231" t="s">
        <v>655</v>
      </c>
      <c r="G231">
        <f t="shared" si="11"/>
        <v>19</v>
      </c>
      <c r="H231">
        <v>37</v>
      </c>
      <c r="I231" t="s">
        <v>12</v>
      </c>
      <c r="J231">
        <v>1335</v>
      </c>
      <c r="K231" t="s">
        <v>656</v>
      </c>
      <c r="L231" t="s">
        <v>657</v>
      </c>
      <c r="M231" t="str">
        <f t="shared" si="10"/>
        <v>Saturday</v>
      </c>
    </row>
    <row r="232" spans="1:13" x14ac:dyDescent="0.3">
      <c r="A232" s="4">
        <f t="shared" si="9"/>
        <v>46158</v>
      </c>
      <c r="B232">
        <v>16</v>
      </c>
      <c r="C232" t="s">
        <v>207</v>
      </c>
      <c r="D232" cm="1">
        <f t="array" ref="D232">_xlfn.SWITCH(C232, "JAN", 1, "FEB", 2, "MAR", 3, "APR", 4,"MAY", 5, "JUN",6, "JUL", 7, "AUG", 8, "SEP", 9, "OCT", 10, "NOV", 11, "DEC", 12, "NO")</f>
        <v>5</v>
      </c>
      <c r="E232">
        <v>2026</v>
      </c>
      <c r="F232" t="s">
        <v>658</v>
      </c>
      <c r="G232">
        <f t="shared" si="11"/>
        <v>18</v>
      </c>
      <c r="H232">
        <v>49</v>
      </c>
      <c r="I232" t="s">
        <v>12</v>
      </c>
      <c r="J232">
        <v>1000</v>
      </c>
      <c r="K232" t="s">
        <v>659</v>
      </c>
      <c r="L232" t="s">
        <v>660</v>
      </c>
      <c r="M232" t="str">
        <f t="shared" si="10"/>
        <v>Saturday</v>
      </c>
    </row>
    <row r="233" spans="1:13" x14ac:dyDescent="0.3">
      <c r="A233" s="4">
        <f t="shared" si="9"/>
        <v>46158</v>
      </c>
      <c r="B233">
        <v>16</v>
      </c>
      <c r="C233" t="s">
        <v>207</v>
      </c>
      <c r="D233" cm="1">
        <f t="array" ref="D233">_xlfn.SWITCH(C233, "JAN", 1, "FEB", 2, "MAR", 3, "APR", 4,"MAY", 5, "JUN",6, "JUL", 7, "AUG", 8, "SEP", 9, "OCT", 10, "NOV", 11, "DEC", 12, "NO")</f>
        <v>5</v>
      </c>
      <c r="E233">
        <v>2026</v>
      </c>
      <c r="F233" t="s">
        <v>312</v>
      </c>
      <c r="G233">
        <f t="shared" si="11"/>
        <v>18</v>
      </c>
      <c r="H233">
        <v>24</v>
      </c>
      <c r="I233" t="s">
        <v>12</v>
      </c>
      <c r="J233">
        <v>1000</v>
      </c>
      <c r="K233" t="s">
        <v>661</v>
      </c>
      <c r="L233" t="s">
        <v>662</v>
      </c>
      <c r="M233" t="str">
        <f t="shared" si="10"/>
        <v>Saturday</v>
      </c>
    </row>
    <row r="234" spans="1:13" x14ac:dyDescent="0.3">
      <c r="A234" s="4">
        <f t="shared" si="9"/>
        <v>46158</v>
      </c>
      <c r="B234">
        <v>16</v>
      </c>
      <c r="C234" t="s">
        <v>207</v>
      </c>
      <c r="D234" cm="1">
        <f t="array" ref="D234">_xlfn.SWITCH(C234, "JAN", 1, "FEB", 2, "MAR", 3, "APR", 4,"MAY", 5, "JUN",6, "JUL", 7, "AUG", 8, "SEP", 9, "OCT", 10, "NOV", 11, "DEC", 12, "NO")</f>
        <v>5</v>
      </c>
      <c r="E234">
        <v>2026</v>
      </c>
      <c r="F234" t="s">
        <v>663</v>
      </c>
      <c r="G234">
        <f t="shared" si="11"/>
        <v>18</v>
      </c>
      <c r="H234">
        <v>4</v>
      </c>
      <c r="I234" t="s">
        <v>12</v>
      </c>
      <c r="J234">
        <v>1000</v>
      </c>
      <c r="K234" t="s">
        <v>664</v>
      </c>
      <c r="L234" t="s">
        <v>665</v>
      </c>
      <c r="M234" t="str">
        <f t="shared" si="10"/>
        <v>Saturday</v>
      </c>
    </row>
    <row r="235" spans="1:13" x14ac:dyDescent="0.3">
      <c r="A235" s="4">
        <f t="shared" si="9"/>
        <v>46158</v>
      </c>
      <c r="B235">
        <v>16</v>
      </c>
      <c r="C235" t="s">
        <v>207</v>
      </c>
      <c r="D235" cm="1">
        <f t="array" ref="D235">_xlfn.SWITCH(C235, "JAN", 1, "FEB", 2, "MAR", 3, "APR", 4,"MAY", 5, "JUN",6, "JUL", 7, "AUG", 8, "SEP", 9, "OCT", 10, "NOV", 11, "DEC", 12, "NO")</f>
        <v>5</v>
      </c>
      <c r="E235">
        <v>2026</v>
      </c>
      <c r="F235" t="s">
        <v>640</v>
      </c>
      <c r="G235">
        <f t="shared" si="11"/>
        <v>17</v>
      </c>
      <c r="H235">
        <v>48</v>
      </c>
      <c r="I235" t="s">
        <v>12</v>
      </c>
      <c r="J235">
        <v>1000</v>
      </c>
      <c r="K235" t="s">
        <v>666</v>
      </c>
      <c r="L235" t="s">
        <v>667</v>
      </c>
      <c r="M235" t="str">
        <f t="shared" si="10"/>
        <v>Saturday</v>
      </c>
    </row>
    <row r="236" spans="1:13" x14ac:dyDescent="0.3">
      <c r="A236" s="4">
        <f t="shared" si="9"/>
        <v>46158</v>
      </c>
      <c r="B236">
        <v>16</v>
      </c>
      <c r="C236" t="s">
        <v>207</v>
      </c>
      <c r="D236" cm="1">
        <f t="array" ref="D236">_xlfn.SWITCH(C236, "JAN", 1, "FEB", 2, "MAR", 3, "APR", 4,"MAY", 5, "JUN",6, "JUL", 7, "AUG", 8, "SEP", 9, "OCT", 10, "NOV", 11, "DEC", 12, "NO")</f>
        <v>5</v>
      </c>
      <c r="E236">
        <v>2026</v>
      </c>
      <c r="F236" t="s">
        <v>668</v>
      </c>
      <c r="G236">
        <f t="shared" si="11"/>
        <v>17</v>
      </c>
      <c r="H236">
        <v>47</v>
      </c>
      <c r="I236" t="s">
        <v>12</v>
      </c>
      <c r="J236">
        <v>1000</v>
      </c>
      <c r="K236" t="s">
        <v>669</v>
      </c>
      <c r="L236" t="s">
        <v>670</v>
      </c>
      <c r="M236" t="str">
        <f t="shared" si="10"/>
        <v>Saturday</v>
      </c>
    </row>
    <row r="237" spans="1:13" x14ac:dyDescent="0.3">
      <c r="A237" s="4">
        <f t="shared" si="9"/>
        <v>46158</v>
      </c>
      <c r="B237">
        <v>16</v>
      </c>
      <c r="C237" t="s">
        <v>207</v>
      </c>
      <c r="D237" cm="1">
        <f t="array" ref="D237">_xlfn.SWITCH(C237, "JAN", 1, "FEB", 2, "MAR", 3, "APR", 4,"MAY", 5, "JUN",6, "JUL", 7, "AUG", 8, "SEP", 9, "OCT", 10, "NOV", 11, "DEC", 12, "NO")</f>
        <v>5</v>
      </c>
      <c r="E237">
        <v>2026</v>
      </c>
      <c r="F237" t="s">
        <v>320</v>
      </c>
      <c r="G237">
        <f t="shared" si="11"/>
        <v>17</v>
      </c>
      <c r="H237">
        <v>42</v>
      </c>
      <c r="I237" t="s">
        <v>12</v>
      </c>
      <c r="J237">
        <v>1000</v>
      </c>
      <c r="K237" t="s">
        <v>671</v>
      </c>
      <c r="L237" t="s">
        <v>672</v>
      </c>
      <c r="M237" t="str">
        <f t="shared" si="10"/>
        <v>Saturday</v>
      </c>
    </row>
    <row r="238" spans="1:13" x14ac:dyDescent="0.3">
      <c r="A238" s="4">
        <f t="shared" si="9"/>
        <v>46158</v>
      </c>
      <c r="B238">
        <v>16</v>
      </c>
      <c r="C238" t="s">
        <v>207</v>
      </c>
      <c r="D238" cm="1">
        <f t="array" ref="D238">_xlfn.SWITCH(C238, "JAN", 1, "FEB", 2, "MAR", 3, "APR", 4,"MAY", 5, "JUN",6, "JUL", 7, "AUG", 8, "SEP", 9, "OCT", 10, "NOV", 11, "DEC", 12, "NO")</f>
        <v>5</v>
      </c>
      <c r="E238">
        <v>2026</v>
      </c>
      <c r="F238" t="s">
        <v>673</v>
      </c>
      <c r="G238">
        <f t="shared" si="11"/>
        <v>17</v>
      </c>
      <c r="H238">
        <v>41</v>
      </c>
      <c r="I238" t="s">
        <v>12</v>
      </c>
      <c r="J238">
        <v>30</v>
      </c>
      <c r="K238" t="s">
        <v>674</v>
      </c>
      <c r="L238" t="s">
        <v>675</v>
      </c>
      <c r="M238" t="str">
        <f t="shared" si="10"/>
        <v>Saturday</v>
      </c>
    </row>
    <row r="239" spans="1:13" x14ac:dyDescent="0.3">
      <c r="A239" s="4">
        <f t="shared" si="9"/>
        <v>46158</v>
      </c>
      <c r="B239">
        <v>16</v>
      </c>
      <c r="C239" t="s">
        <v>207</v>
      </c>
      <c r="D239" cm="1">
        <f t="array" ref="D239">_xlfn.SWITCH(C239, "JAN", 1, "FEB", 2, "MAR", 3, "APR", 4,"MAY", 5, "JUN",6, "JUL", 7, "AUG", 8, "SEP", 9, "OCT", 10, "NOV", 11, "DEC", 12, "NO")</f>
        <v>5</v>
      </c>
      <c r="E239">
        <v>2026</v>
      </c>
      <c r="F239" t="s">
        <v>676</v>
      </c>
      <c r="G239">
        <f t="shared" si="11"/>
        <v>17</v>
      </c>
      <c r="H239">
        <v>36</v>
      </c>
      <c r="I239" t="s">
        <v>12</v>
      </c>
      <c r="J239">
        <v>1000</v>
      </c>
      <c r="K239" t="s">
        <v>677</v>
      </c>
      <c r="L239" t="s">
        <v>678</v>
      </c>
      <c r="M239" t="str">
        <f t="shared" si="10"/>
        <v>Saturday</v>
      </c>
    </row>
    <row r="240" spans="1:13" x14ac:dyDescent="0.3">
      <c r="A240" s="4">
        <f t="shared" si="9"/>
        <v>46158</v>
      </c>
      <c r="B240">
        <v>16</v>
      </c>
      <c r="C240" t="s">
        <v>207</v>
      </c>
      <c r="D240" cm="1">
        <f t="array" ref="D240">_xlfn.SWITCH(C240, "JAN", 1, "FEB", 2, "MAR", 3, "APR", 4,"MAY", 5, "JUN",6, "JUL", 7, "AUG", 8, "SEP", 9, "OCT", 10, "NOV", 11, "DEC", 12, "NO")</f>
        <v>5</v>
      </c>
      <c r="E240">
        <v>2026</v>
      </c>
      <c r="F240" t="s">
        <v>679</v>
      </c>
      <c r="G240">
        <f t="shared" si="11"/>
        <v>17</v>
      </c>
      <c r="H240">
        <v>27</v>
      </c>
      <c r="I240" t="s">
        <v>12</v>
      </c>
      <c r="J240">
        <v>1000</v>
      </c>
      <c r="K240" t="s">
        <v>680</v>
      </c>
      <c r="L240" t="s">
        <v>681</v>
      </c>
      <c r="M240" t="str">
        <f t="shared" si="10"/>
        <v>Saturday</v>
      </c>
    </row>
    <row r="241" spans="1:13" x14ac:dyDescent="0.3">
      <c r="A241" s="4">
        <f t="shared" si="9"/>
        <v>46158</v>
      </c>
      <c r="B241">
        <v>16</v>
      </c>
      <c r="C241" t="s">
        <v>207</v>
      </c>
      <c r="D241" cm="1">
        <f t="array" ref="D241">_xlfn.SWITCH(C241, "JAN", 1, "FEB", 2, "MAR", 3, "APR", 4,"MAY", 5, "JUN",6, "JUL", 7, "AUG", 8, "SEP", 9, "OCT", 10, "NOV", 11, "DEC", 12, "NO")</f>
        <v>5</v>
      </c>
      <c r="E241">
        <v>2026</v>
      </c>
      <c r="F241" t="s">
        <v>682</v>
      </c>
      <c r="G241">
        <f t="shared" si="11"/>
        <v>17</v>
      </c>
      <c r="H241">
        <v>23</v>
      </c>
      <c r="I241" t="s">
        <v>12</v>
      </c>
      <c r="J241">
        <v>1000</v>
      </c>
      <c r="K241" t="s">
        <v>683</v>
      </c>
      <c r="L241" t="s">
        <v>684</v>
      </c>
      <c r="M241" t="str">
        <f t="shared" si="10"/>
        <v>Saturday</v>
      </c>
    </row>
    <row r="242" spans="1:13" x14ac:dyDescent="0.3">
      <c r="A242" s="4">
        <f t="shared" si="9"/>
        <v>46158</v>
      </c>
      <c r="B242">
        <v>16</v>
      </c>
      <c r="C242" t="s">
        <v>207</v>
      </c>
      <c r="D242" cm="1">
        <f t="array" ref="D242">_xlfn.SWITCH(C242, "JAN", 1, "FEB", 2, "MAR", 3, "APR", 4,"MAY", 5, "JUN",6, "JUL", 7, "AUG", 8, "SEP", 9, "OCT", 10, "NOV", 11, "DEC", 12, "NO")</f>
        <v>5</v>
      </c>
      <c r="E242">
        <v>2026</v>
      </c>
      <c r="F242" t="s">
        <v>280</v>
      </c>
      <c r="G242">
        <f t="shared" si="11"/>
        <v>17</v>
      </c>
      <c r="H242">
        <v>17</v>
      </c>
      <c r="I242" t="s">
        <v>12</v>
      </c>
      <c r="J242">
        <v>1000</v>
      </c>
      <c r="K242" t="s">
        <v>685</v>
      </c>
      <c r="L242" t="s">
        <v>686</v>
      </c>
      <c r="M242" t="str">
        <f t="shared" si="10"/>
        <v>Saturday</v>
      </c>
    </row>
    <row r="243" spans="1:13" x14ac:dyDescent="0.3">
      <c r="A243" s="4">
        <f t="shared" si="9"/>
        <v>46158</v>
      </c>
      <c r="B243">
        <v>16</v>
      </c>
      <c r="C243" t="s">
        <v>207</v>
      </c>
      <c r="D243" cm="1">
        <f t="array" ref="D243">_xlfn.SWITCH(C243, "JAN", 1, "FEB", 2, "MAR", 3, "APR", 4,"MAY", 5, "JUN",6, "JUL", 7, "AUG", 8, "SEP", 9, "OCT", 10, "NOV", 11, "DEC", 12, "NO")</f>
        <v>5</v>
      </c>
      <c r="E243">
        <v>2026</v>
      </c>
      <c r="F243" t="s">
        <v>463</v>
      </c>
      <c r="G243">
        <f t="shared" si="11"/>
        <v>17</v>
      </c>
      <c r="H243">
        <v>6</v>
      </c>
      <c r="I243" t="s">
        <v>12</v>
      </c>
      <c r="J243">
        <v>1000</v>
      </c>
      <c r="K243" t="s">
        <v>687</v>
      </c>
      <c r="L243" t="s">
        <v>688</v>
      </c>
      <c r="M243" t="str">
        <f t="shared" si="10"/>
        <v>Saturday</v>
      </c>
    </row>
    <row r="244" spans="1:13" x14ac:dyDescent="0.3">
      <c r="A244" s="4">
        <f t="shared" si="9"/>
        <v>46158</v>
      </c>
      <c r="B244">
        <v>16</v>
      </c>
      <c r="C244" t="s">
        <v>207</v>
      </c>
      <c r="D244" cm="1">
        <f t="array" ref="D244">_xlfn.SWITCH(C244, "JAN", 1, "FEB", 2, "MAR", 3, "APR", 4,"MAY", 5, "JUN",6, "JUL", 7, "AUG", 8, "SEP", 9, "OCT", 10, "NOV", 11, "DEC", 12, "NO")</f>
        <v>5</v>
      </c>
      <c r="E244">
        <v>2026</v>
      </c>
      <c r="F244" t="s">
        <v>689</v>
      </c>
      <c r="G244">
        <f t="shared" si="11"/>
        <v>16</v>
      </c>
      <c r="H244">
        <v>56</v>
      </c>
      <c r="I244" t="s">
        <v>12</v>
      </c>
      <c r="J244">
        <v>1000</v>
      </c>
      <c r="K244" t="s">
        <v>690</v>
      </c>
      <c r="L244" t="s">
        <v>691</v>
      </c>
      <c r="M244" t="str">
        <f t="shared" si="10"/>
        <v>Saturday</v>
      </c>
    </row>
    <row r="245" spans="1:13" x14ac:dyDescent="0.3">
      <c r="A245" s="4">
        <f t="shared" si="9"/>
        <v>46158</v>
      </c>
      <c r="B245">
        <v>16</v>
      </c>
      <c r="C245" t="s">
        <v>207</v>
      </c>
      <c r="D245" cm="1">
        <f t="array" ref="D245">_xlfn.SWITCH(C245, "JAN", 1, "FEB", 2, "MAR", 3, "APR", 4,"MAY", 5, "JUN",6, "JUL", 7, "AUG", 8, "SEP", 9, "OCT", 10, "NOV", 11, "DEC", 12, "NO")</f>
        <v>5</v>
      </c>
      <c r="E245">
        <v>2026</v>
      </c>
      <c r="F245" t="s">
        <v>692</v>
      </c>
      <c r="G245">
        <f t="shared" si="11"/>
        <v>16</v>
      </c>
      <c r="H245">
        <v>40</v>
      </c>
      <c r="I245" t="s">
        <v>12</v>
      </c>
      <c r="J245">
        <v>1000</v>
      </c>
      <c r="K245" t="s">
        <v>693</v>
      </c>
      <c r="L245" t="s">
        <v>694</v>
      </c>
      <c r="M245" t="str">
        <f t="shared" si="10"/>
        <v>Saturday</v>
      </c>
    </row>
    <row r="246" spans="1:13" x14ac:dyDescent="0.3">
      <c r="A246" s="4">
        <f t="shared" si="9"/>
        <v>46158</v>
      </c>
      <c r="B246">
        <v>16</v>
      </c>
      <c r="C246" t="s">
        <v>207</v>
      </c>
      <c r="D246" cm="1">
        <f t="array" ref="D246">_xlfn.SWITCH(C246, "JAN", 1, "FEB", 2, "MAR", 3, "APR", 4,"MAY", 5, "JUN",6, "JUL", 7, "AUG", 8, "SEP", 9, "OCT", 10, "NOV", 11, "DEC", 12, "NO")</f>
        <v>5</v>
      </c>
      <c r="E246">
        <v>2026</v>
      </c>
      <c r="F246" t="s">
        <v>114</v>
      </c>
      <c r="G246">
        <f t="shared" si="11"/>
        <v>16</v>
      </c>
      <c r="H246">
        <v>34</v>
      </c>
      <c r="I246" t="s">
        <v>12</v>
      </c>
      <c r="J246">
        <v>1000</v>
      </c>
      <c r="K246" t="s">
        <v>695</v>
      </c>
      <c r="L246" t="s">
        <v>696</v>
      </c>
      <c r="M246" t="str">
        <f t="shared" si="10"/>
        <v>Saturday</v>
      </c>
    </row>
    <row r="247" spans="1:13" x14ac:dyDescent="0.3">
      <c r="A247" s="4">
        <f t="shared" si="9"/>
        <v>46158</v>
      </c>
      <c r="B247">
        <v>16</v>
      </c>
      <c r="C247" t="s">
        <v>207</v>
      </c>
      <c r="D247" cm="1">
        <f t="array" ref="D247">_xlfn.SWITCH(C247, "JAN", 1, "FEB", 2, "MAR", 3, "APR", 4,"MAY", 5, "JUN",6, "JUL", 7, "AUG", 8, "SEP", 9, "OCT", 10, "NOV", 11, "DEC", 12, "NO")</f>
        <v>5</v>
      </c>
      <c r="E247">
        <v>2026</v>
      </c>
      <c r="F247" t="s">
        <v>697</v>
      </c>
      <c r="G247">
        <f t="shared" si="11"/>
        <v>16</v>
      </c>
      <c r="H247">
        <v>4</v>
      </c>
      <c r="I247" t="s">
        <v>12</v>
      </c>
      <c r="J247">
        <v>500</v>
      </c>
      <c r="K247" t="s">
        <v>698</v>
      </c>
      <c r="L247" t="s">
        <v>699</v>
      </c>
      <c r="M247" t="str">
        <f t="shared" si="10"/>
        <v>Saturday</v>
      </c>
    </row>
    <row r="248" spans="1:13" x14ac:dyDescent="0.3">
      <c r="A248" s="4">
        <f t="shared" si="9"/>
        <v>46158</v>
      </c>
      <c r="B248">
        <v>16</v>
      </c>
      <c r="C248" t="s">
        <v>207</v>
      </c>
      <c r="D248" cm="1">
        <f t="array" ref="D248">_xlfn.SWITCH(C248, "JAN", 1, "FEB", 2, "MAR", 3, "APR", 4,"MAY", 5, "JUN",6, "JUL", 7, "AUG", 8, "SEP", 9, "OCT", 10, "NOV", 11, "DEC", 12, "NO")</f>
        <v>5</v>
      </c>
      <c r="E248">
        <v>2026</v>
      </c>
      <c r="F248" t="s">
        <v>700</v>
      </c>
      <c r="G248">
        <f t="shared" si="11"/>
        <v>15</v>
      </c>
      <c r="H248">
        <v>57</v>
      </c>
      <c r="I248" t="s">
        <v>12</v>
      </c>
      <c r="J248">
        <v>1000</v>
      </c>
      <c r="K248" t="s">
        <v>701</v>
      </c>
      <c r="L248" t="s">
        <v>702</v>
      </c>
      <c r="M248" t="str">
        <f t="shared" si="10"/>
        <v>Saturday</v>
      </c>
    </row>
    <row r="249" spans="1:13" x14ac:dyDescent="0.3">
      <c r="A249" s="4">
        <f t="shared" si="9"/>
        <v>46158</v>
      </c>
      <c r="B249">
        <v>16</v>
      </c>
      <c r="C249" t="s">
        <v>207</v>
      </c>
      <c r="D249" cm="1">
        <f t="array" ref="D249">_xlfn.SWITCH(C249, "JAN", 1, "FEB", 2, "MAR", 3, "APR", 4,"MAY", 5, "JUN",6, "JUL", 7, "AUG", 8, "SEP", 9, "OCT", 10, "NOV", 11, "DEC", 12, "NO")</f>
        <v>5</v>
      </c>
      <c r="E249">
        <v>2026</v>
      </c>
      <c r="F249" t="s">
        <v>703</v>
      </c>
      <c r="G249">
        <f t="shared" si="11"/>
        <v>15</v>
      </c>
      <c r="H249">
        <v>49</v>
      </c>
      <c r="I249" t="s">
        <v>12</v>
      </c>
      <c r="J249">
        <v>1000</v>
      </c>
      <c r="K249" t="s">
        <v>704</v>
      </c>
      <c r="L249" t="s">
        <v>705</v>
      </c>
      <c r="M249" t="str">
        <f t="shared" si="10"/>
        <v>Saturday</v>
      </c>
    </row>
    <row r="250" spans="1:13" x14ac:dyDescent="0.3">
      <c r="A250" s="4">
        <f t="shared" si="9"/>
        <v>46158</v>
      </c>
      <c r="B250">
        <v>16</v>
      </c>
      <c r="C250" t="s">
        <v>207</v>
      </c>
      <c r="D250" cm="1">
        <f t="array" ref="D250">_xlfn.SWITCH(C250, "JAN", 1, "FEB", 2, "MAR", 3, "APR", 4,"MAY", 5, "JUN",6, "JUL", 7, "AUG", 8, "SEP", 9, "OCT", 10, "NOV", 11, "DEC", 12, "NO")</f>
        <v>5</v>
      </c>
      <c r="E250">
        <v>2026</v>
      </c>
      <c r="F250" t="s">
        <v>706</v>
      </c>
      <c r="G250">
        <f t="shared" si="11"/>
        <v>15</v>
      </c>
      <c r="H250">
        <v>19</v>
      </c>
      <c r="I250" t="s">
        <v>12</v>
      </c>
      <c r="J250">
        <v>1000</v>
      </c>
      <c r="K250" t="s">
        <v>707</v>
      </c>
      <c r="L250" t="s">
        <v>708</v>
      </c>
      <c r="M250" t="str">
        <f t="shared" si="10"/>
        <v>Saturday</v>
      </c>
    </row>
    <row r="251" spans="1:13" x14ac:dyDescent="0.3">
      <c r="A251" s="4">
        <f t="shared" si="9"/>
        <v>46157</v>
      </c>
      <c r="B251">
        <v>15</v>
      </c>
      <c r="C251" t="s">
        <v>207</v>
      </c>
      <c r="D251" cm="1">
        <f t="array" ref="D251">_xlfn.SWITCH(C251, "JAN", 1, "FEB", 2, "MAR", 3, "APR", 4,"MAY", 5, "JUN",6, "JUL", 7, "AUG", 8, "SEP", 9, "OCT", 10, "NOV", 11, "DEC", 12, "NO")</f>
        <v>5</v>
      </c>
      <c r="E251">
        <v>2026</v>
      </c>
      <c r="F251" t="s">
        <v>709</v>
      </c>
      <c r="G251">
        <f t="shared" si="11"/>
        <v>21</v>
      </c>
      <c r="H251">
        <v>33</v>
      </c>
      <c r="I251" t="s">
        <v>84</v>
      </c>
      <c r="J251">
        <v>2000</v>
      </c>
      <c r="K251" t="s">
        <v>710</v>
      </c>
      <c r="L251" t="s">
        <v>711</v>
      </c>
      <c r="M251" t="str">
        <f t="shared" si="10"/>
        <v>Friday</v>
      </c>
    </row>
    <row r="252" spans="1:13" x14ac:dyDescent="0.3">
      <c r="A252" s="4">
        <f t="shared" si="9"/>
        <v>46157</v>
      </c>
      <c r="B252">
        <v>15</v>
      </c>
      <c r="C252" t="s">
        <v>207</v>
      </c>
      <c r="D252" cm="1">
        <f t="array" ref="D252">_xlfn.SWITCH(C252, "JAN", 1, "FEB", 2, "MAR", 3, "APR", 4,"MAY", 5, "JUN",6, "JUL", 7, "AUG", 8, "SEP", 9, "OCT", 10, "NOV", 11, "DEC", 12, "NO")</f>
        <v>5</v>
      </c>
      <c r="E252">
        <v>2026</v>
      </c>
      <c r="F252" t="s">
        <v>712</v>
      </c>
      <c r="G252">
        <f t="shared" si="11"/>
        <v>19</v>
      </c>
      <c r="H252">
        <v>50</v>
      </c>
      <c r="I252" t="s">
        <v>84</v>
      </c>
      <c r="J252">
        <v>20</v>
      </c>
      <c r="K252" t="s">
        <v>713</v>
      </c>
      <c r="L252" t="s">
        <v>714</v>
      </c>
      <c r="M252" t="str">
        <f t="shared" si="10"/>
        <v>Friday</v>
      </c>
    </row>
    <row r="253" spans="1:13" x14ac:dyDescent="0.3">
      <c r="A253" s="4">
        <f t="shared" si="9"/>
        <v>46157</v>
      </c>
      <c r="B253">
        <v>15</v>
      </c>
      <c r="C253" t="s">
        <v>207</v>
      </c>
      <c r="D253" cm="1">
        <f t="array" ref="D253">_xlfn.SWITCH(C253, "JAN", 1, "FEB", 2, "MAR", 3, "APR", 4,"MAY", 5, "JUN",6, "JUL", 7, "AUG", 8, "SEP", 9, "OCT", 10, "NOV", 11, "DEC", 12, "NO")</f>
        <v>5</v>
      </c>
      <c r="E253">
        <v>2026</v>
      </c>
      <c r="F253" t="s">
        <v>229</v>
      </c>
      <c r="G253">
        <f t="shared" si="11"/>
        <v>19</v>
      </c>
      <c r="H253">
        <v>48</v>
      </c>
      <c r="I253" t="s">
        <v>84</v>
      </c>
      <c r="J253">
        <v>28950</v>
      </c>
      <c r="K253" t="s">
        <v>715</v>
      </c>
      <c r="L253" t="s">
        <v>716</v>
      </c>
      <c r="M253" t="str">
        <f t="shared" si="10"/>
        <v>Friday</v>
      </c>
    </row>
    <row r="254" spans="1:13" x14ac:dyDescent="0.3">
      <c r="A254" s="4">
        <f t="shared" si="9"/>
        <v>46157</v>
      </c>
      <c r="B254">
        <v>15</v>
      </c>
      <c r="C254" t="s">
        <v>207</v>
      </c>
      <c r="D254" cm="1">
        <f t="array" ref="D254">_xlfn.SWITCH(C254, "JAN", 1, "FEB", 2, "MAR", 3, "APR", 4,"MAY", 5, "JUN",6, "JUL", 7, "AUG", 8, "SEP", 9, "OCT", 10, "NOV", 11, "DEC", 12, "NO")</f>
        <v>5</v>
      </c>
      <c r="E254">
        <v>2026</v>
      </c>
      <c r="F254" t="s">
        <v>258</v>
      </c>
      <c r="G254">
        <f t="shared" si="11"/>
        <v>18</v>
      </c>
      <c r="H254">
        <v>52</v>
      </c>
      <c r="I254" t="s">
        <v>12</v>
      </c>
      <c r="J254">
        <v>990</v>
      </c>
      <c r="K254" t="s">
        <v>717</v>
      </c>
      <c r="L254" t="s">
        <v>718</v>
      </c>
      <c r="M254" t="str">
        <f t="shared" si="10"/>
        <v>Friday</v>
      </c>
    </row>
    <row r="255" spans="1:13" x14ac:dyDescent="0.3">
      <c r="A255" s="4">
        <f t="shared" si="9"/>
        <v>46157</v>
      </c>
      <c r="B255">
        <v>15</v>
      </c>
      <c r="C255" t="s">
        <v>207</v>
      </c>
      <c r="D255" cm="1">
        <f t="array" ref="D255">_xlfn.SWITCH(C255, "JAN", 1, "FEB", 2, "MAR", 3, "APR", 4,"MAY", 5, "JUN",6, "JUL", 7, "AUG", 8, "SEP", 9, "OCT", 10, "NOV", 11, "DEC", 12, "NO")</f>
        <v>5</v>
      </c>
      <c r="E255">
        <v>2026</v>
      </c>
      <c r="F255" t="s">
        <v>658</v>
      </c>
      <c r="G255">
        <f t="shared" si="11"/>
        <v>18</v>
      </c>
      <c r="H255">
        <v>49</v>
      </c>
      <c r="I255" t="s">
        <v>12</v>
      </c>
      <c r="J255">
        <v>1000</v>
      </c>
      <c r="K255" t="s">
        <v>719</v>
      </c>
      <c r="L255" t="s">
        <v>720</v>
      </c>
      <c r="M255" t="str">
        <f t="shared" si="10"/>
        <v>Friday</v>
      </c>
    </row>
    <row r="256" spans="1:13" x14ac:dyDescent="0.3">
      <c r="A256" s="4">
        <f t="shared" si="9"/>
        <v>46157</v>
      </c>
      <c r="B256">
        <v>15</v>
      </c>
      <c r="C256" t="s">
        <v>207</v>
      </c>
      <c r="D256" cm="1">
        <f t="array" ref="D256">_xlfn.SWITCH(C256, "JAN", 1, "FEB", 2, "MAR", 3, "APR", 4,"MAY", 5, "JUN",6, "JUL", 7, "AUG", 8, "SEP", 9, "OCT", 10, "NOV", 11, "DEC", 12, "NO")</f>
        <v>5</v>
      </c>
      <c r="E256">
        <v>2026</v>
      </c>
      <c r="F256" t="s">
        <v>629</v>
      </c>
      <c r="G256">
        <f t="shared" si="11"/>
        <v>18</v>
      </c>
      <c r="H256">
        <v>33</v>
      </c>
      <c r="I256" t="s">
        <v>12</v>
      </c>
      <c r="J256">
        <v>5000</v>
      </c>
      <c r="K256" t="s">
        <v>721</v>
      </c>
      <c r="L256" t="s">
        <v>722</v>
      </c>
      <c r="M256" t="str">
        <f t="shared" si="10"/>
        <v>Friday</v>
      </c>
    </row>
    <row r="257" spans="1:13" x14ac:dyDescent="0.3">
      <c r="A257" s="4">
        <f t="shared" si="9"/>
        <v>46157</v>
      </c>
      <c r="B257">
        <v>15</v>
      </c>
      <c r="C257" t="s">
        <v>207</v>
      </c>
      <c r="D257" cm="1">
        <f t="array" ref="D257">_xlfn.SWITCH(C257, "JAN", 1, "FEB", 2, "MAR", 3, "APR", 4,"MAY", 5, "JUN",6, "JUL", 7, "AUG", 8, "SEP", 9, "OCT", 10, "NOV", 11, "DEC", 12, "NO")</f>
        <v>5</v>
      </c>
      <c r="E257">
        <v>2026</v>
      </c>
      <c r="F257" t="s">
        <v>629</v>
      </c>
      <c r="G257">
        <f t="shared" si="11"/>
        <v>18</v>
      </c>
      <c r="H257">
        <v>33</v>
      </c>
      <c r="I257" t="s">
        <v>12</v>
      </c>
      <c r="J257">
        <v>200</v>
      </c>
      <c r="K257" t="s">
        <v>723</v>
      </c>
      <c r="L257" t="s">
        <v>724</v>
      </c>
      <c r="M257" t="str">
        <f t="shared" si="10"/>
        <v>Friday</v>
      </c>
    </row>
    <row r="258" spans="1:13" x14ac:dyDescent="0.3">
      <c r="A258" s="4">
        <f t="shared" ref="A258:A321" si="12">DATE(E258, D258, B258)</f>
        <v>46157</v>
      </c>
      <c r="B258">
        <v>15</v>
      </c>
      <c r="C258" t="s">
        <v>207</v>
      </c>
      <c r="D258" cm="1">
        <f t="array" ref="D258">_xlfn.SWITCH(C258, "JAN", 1, "FEB", 2, "MAR", 3, "APR", 4,"MAY", 5, "JUN",6, "JUL", 7, "AUG", 8, "SEP", 9, "OCT", 10, "NOV", 11, "DEC", 12, "NO")</f>
        <v>5</v>
      </c>
      <c r="E258">
        <v>2026</v>
      </c>
      <c r="F258" t="s">
        <v>725</v>
      </c>
      <c r="G258">
        <f t="shared" si="11"/>
        <v>18</v>
      </c>
      <c r="H258">
        <v>9</v>
      </c>
      <c r="I258" t="s">
        <v>12</v>
      </c>
      <c r="J258">
        <v>995</v>
      </c>
      <c r="K258" t="s">
        <v>726</v>
      </c>
      <c r="L258" t="s">
        <v>727</v>
      </c>
      <c r="M258" t="str">
        <f t="shared" ref="M258:M321" si="13">TEXT(A258, "DDDD")</f>
        <v>Friday</v>
      </c>
    </row>
    <row r="259" spans="1:13" x14ac:dyDescent="0.3">
      <c r="A259" s="4">
        <f t="shared" si="12"/>
        <v>46157</v>
      </c>
      <c r="B259">
        <v>15</v>
      </c>
      <c r="C259" t="s">
        <v>207</v>
      </c>
      <c r="D259" cm="1">
        <f t="array" ref="D259">_xlfn.SWITCH(C259, "JAN", 1, "FEB", 2, "MAR", 3, "APR", 4,"MAY", 5, "JUN",6, "JUL", 7, "AUG", 8, "SEP", 9, "OCT", 10, "NOV", 11, "DEC", 12, "NO")</f>
        <v>5</v>
      </c>
      <c r="E259">
        <v>2026</v>
      </c>
      <c r="F259" t="s">
        <v>728</v>
      </c>
      <c r="G259">
        <f t="shared" ref="G259:G322" si="14">HOUR(F259)</f>
        <v>18</v>
      </c>
      <c r="H259">
        <v>1</v>
      </c>
      <c r="I259" t="s">
        <v>12</v>
      </c>
      <c r="J259">
        <v>1000</v>
      </c>
      <c r="K259" t="s">
        <v>729</v>
      </c>
      <c r="L259" t="s">
        <v>730</v>
      </c>
      <c r="M259" t="str">
        <f t="shared" si="13"/>
        <v>Friday</v>
      </c>
    </row>
    <row r="260" spans="1:13" x14ac:dyDescent="0.3">
      <c r="A260" s="4">
        <f t="shared" si="12"/>
        <v>46157</v>
      </c>
      <c r="B260">
        <v>15</v>
      </c>
      <c r="C260" t="s">
        <v>207</v>
      </c>
      <c r="D260" cm="1">
        <f t="array" ref="D260">_xlfn.SWITCH(C260, "JAN", 1, "FEB", 2, "MAR", 3, "APR", 4,"MAY", 5, "JUN",6, "JUL", 7, "AUG", 8, "SEP", 9, "OCT", 10, "NOV", 11, "DEC", 12, "NO")</f>
        <v>5</v>
      </c>
      <c r="E260">
        <v>2026</v>
      </c>
      <c r="F260" t="s">
        <v>731</v>
      </c>
      <c r="G260">
        <f t="shared" si="14"/>
        <v>17</v>
      </c>
      <c r="H260">
        <v>54</v>
      </c>
      <c r="I260" t="s">
        <v>12</v>
      </c>
      <c r="J260">
        <v>1000</v>
      </c>
      <c r="K260" t="s">
        <v>732</v>
      </c>
      <c r="L260" t="s">
        <v>733</v>
      </c>
      <c r="M260" t="str">
        <f t="shared" si="13"/>
        <v>Friday</v>
      </c>
    </row>
    <row r="261" spans="1:13" x14ac:dyDescent="0.3">
      <c r="A261" s="4">
        <f t="shared" si="12"/>
        <v>46157</v>
      </c>
      <c r="B261">
        <v>15</v>
      </c>
      <c r="C261" t="s">
        <v>207</v>
      </c>
      <c r="D261" cm="1">
        <f t="array" ref="D261">_xlfn.SWITCH(C261, "JAN", 1, "FEB", 2, "MAR", 3, "APR", 4,"MAY", 5, "JUN",6, "JUL", 7, "AUG", 8, "SEP", 9, "OCT", 10, "NOV", 11, "DEC", 12, "NO")</f>
        <v>5</v>
      </c>
      <c r="E261">
        <v>2026</v>
      </c>
      <c r="F261" t="s">
        <v>643</v>
      </c>
      <c r="G261">
        <f t="shared" si="14"/>
        <v>17</v>
      </c>
      <c r="H261">
        <v>37</v>
      </c>
      <c r="I261" t="s">
        <v>12</v>
      </c>
      <c r="J261">
        <v>1000</v>
      </c>
      <c r="K261" t="s">
        <v>734</v>
      </c>
      <c r="L261" t="s">
        <v>735</v>
      </c>
      <c r="M261" t="str">
        <f t="shared" si="13"/>
        <v>Friday</v>
      </c>
    </row>
    <row r="262" spans="1:13" x14ac:dyDescent="0.3">
      <c r="A262" s="4">
        <f t="shared" si="12"/>
        <v>46157</v>
      </c>
      <c r="B262">
        <v>15</v>
      </c>
      <c r="C262" t="s">
        <v>207</v>
      </c>
      <c r="D262" cm="1">
        <f t="array" ref="D262">_xlfn.SWITCH(C262, "JAN", 1, "FEB", 2, "MAR", 3, "APR", 4,"MAY", 5, "JUN",6, "JUL", 7, "AUG", 8, "SEP", 9, "OCT", 10, "NOV", 11, "DEC", 12, "NO")</f>
        <v>5</v>
      </c>
      <c r="E262">
        <v>2026</v>
      </c>
      <c r="F262" t="s">
        <v>277</v>
      </c>
      <c r="G262">
        <f t="shared" si="14"/>
        <v>17</v>
      </c>
      <c r="H262">
        <v>30</v>
      </c>
      <c r="I262" t="s">
        <v>12</v>
      </c>
      <c r="J262">
        <v>1000</v>
      </c>
      <c r="K262" t="s">
        <v>736</v>
      </c>
      <c r="L262" t="s">
        <v>737</v>
      </c>
      <c r="M262" t="str">
        <f t="shared" si="13"/>
        <v>Friday</v>
      </c>
    </row>
    <row r="263" spans="1:13" x14ac:dyDescent="0.3">
      <c r="A263" s="4">
        <f t="shared" si="12"/>
        <v>46157</v>
      </c>
      <c r="B263">
        <v>15</v>
      </c>
      <c r="C263" t="s">
        <v>207</v>
      </c>
      <c r="D263" cm="1">
        <f t="array" ref="D263">_xlfn.SWITCH(C263, "JAN", 1, "FEB", 2, "MAR", 3, "APR", 4,"MAY", 5, "JUN",6, "JUL", 7, "AUG", 8, "SEP", 9, "OCT", 10, "NOV", 11, "DEC", 12, "NO")</f>
        <v>5</v>
      </c>
      <c r="E263">
        <v>2026</v>
      </c>
      <c r="F263" t="s">
        <v>567</v>
      </c>
      <c r="G263">
        <f t="shared" si="14"/>
        <v>17</v>
      </c>
      <c r="H263">
        <v>29</v>
      </c>
      <c r="I263" t="s">
        <v>12</v>
      </c>
      <c r="J263">
        <v>1000</v>
      </c>
      <c r="K263" t="s">
        <v>738</v>
      </c>
      <c r="L263" t="s">
        <v>739</v>
      </c>
      <c r="M263" t="str">
        <f t="shared" si="13"/>
        <v>Friday</v>
      </c>
    </row>
    <row r="264" spans="1:13" x14ac:dyDescent="0.3">
      <c r="A264" s="4">
        <f t="shared" si="12"/>
        <v>46157</v>
      </c>
      <c r="B264">
        <v>15</v>
      </c>
      <c r="C264" t="s">
        <v>207</v>
      </c>
      <c r="D264" cm="1">
        <f t="array" ref="D264">_xlfn.SWITCH(C264, "JAN", 1, "FEB", 2, "MAR", 3, "APR", 4,"MAY", 5, "JUN",6, "JUL", 7, "AUG", 8, "SEP", 9, "OCT", 10, "NOV", 11, "DEC", 12, "NO")</f>
        <v>5</v>
      </c>
      <c r="E264">
        <v>2026</v>
      </c>
      <c r="F264" t="s">
        <v>108</v>
      </c>
      <c r="G264">
        <f t="shared" si="14"/>
        <v>17</v>
      </c>
      <c r="H264">
        <v>21</v>
      </c>
      <c r="I264" t="s">
        <v>12</v>
      </c>
      <c r="J264">
        <v>720</v>
      </c>
      <c r="K264" t="s">
        <v>740</v>
      </c>
      <c r="L264" t="s">
        <v>741</v>
      </c>
      <c r="M264" t="str">
        <f t="shared" si="13"/>
        <v>Friday</v>
      </c>
    </row>
    <row r="265" spans="1:13" x14ac:dyDescent="0.3">
      <c r="A265" s="4">
        <f t="shared" si="12"/>
        <v>46157</v>
      </c>
      <c r="B265">
        <v>15</v>
      </c>
      <c r="C265" t="s">
        <v>207</v>
      </c>
      <c r="D265" cm="1">
        <f t="array" ref="D265">_xlfn.SWITCH(C265, "JAN", 1, "FEB", 2, "MAR", 3, "APR", 4,"MAY", 5, "JUN",6, "JUL", 7, "AUG", 8, "SEP", 9, "OCT", 10, "NOV", 11, "DEC", 12, "NO")</f>
        <v>5</v>
      </c>
      <c r="E265">
        <v>2026</v>
      </c>
      <c r="F265" t="s">
        <v>742</v>
      </c>
      <c r="G265">
        <f t="shared" si="14"/>
        <v>16</v>
      </c>
      <c r="H265">
        <v>55</v>
      </c>
      <c r="I265" t="s">
        <v>12</v>
      </c>
      <c r="J265">
        <v>1050</v>
      </c>
      <c r="K265" t="s">
        <v>743</v>
      </c>
      <c r="L265" t="s">
        <v>744</v>
      </c>
      <c r="M265" t="str">
        <f t="shared" si="13"/>
        <v>Friday</v>
      </c>
    </row>
    <row r="266" spans="1:13" x14ac:dyDescent="0.3">
      <c r="A266" s="4">
        <f t="shared" si="12"/>
        <v>46157</v>
      </c>
      <c r="B266">
        <v>15</v>
      </c>
      <c r="C266" t="s">
        <v>207</v>
      </c>
      <c r="D266" cm="1">
        <f t="array" ref="D266">_xlfn.SWITCH(C266, "JAN", 1, "FEB", 2, "MAR", 3, "APR", 4,"MAY", 5, "JUN",6, "JUL", 7, "AUG", 8, "SEP", 9, "OCT", 10, "NOV", 11, "DEC", 12, "NO")</f>
        <v>5</v>
      </c>
      <c r="E266">
        <v>2026</v>
      </c>
      <c r="F266" t="s">
        <v>334</v>
      </c>
      <c r="G266">
        <f t="shared" si="14"/>
        <v>16</v>
      </c>
      <c r="H266">
        <v>49</v>
      </c>
      <c r="I266" t="s">
        <v>12</v>
      </c>
      <c r="J266">
        <v>1000</v>
      </c>
      <c r="K266" t="s">
        <v>745</v>
      </c>
      <c r="L266" t="s">
        <v>746</v>
      </c>
      <c r="M266" t="str">
        <f t="shared" si="13"/>
        <v>Friday</v>
      </c>
    </row>
    <row r="267" spans="1:13" x14ac:dyDescent="0.3">
      <c r="A267" s="4">
        <f t="shared" si="12"/>
        <v>46157</v>
      </c>
      <c r="B267">
        <v>15</v>
      </c>
      <c r="C267" t="s">
        <v>207</v>
      </c>
      <c r="D267" cm="1">
        <f t="array" ref="D267">_xlfn.SWITCH(C267, "JAN", 1, "FEB", 2, "MAR", 3, "APR", 4,"MAY", 5, "JUN",6, "JUL", 7, "AUG", 8, "SEP", 9, "OCT", 10, "NOV", 11, "DEC", 12, "NO")</f>
        <v>5</v>
      </c>
      <c r="E267">
        <v>2026</v>
      </c>
      <c r="F267" t="s">
        <v>747</v>
      </c>
      <c r="G267">
        <f t="shared" si="14"/>
        <v>16</v>
      </c>
      <c r="H267">
        <v>48</v>
      </c>
      <c r="I267" t="s">
        <v>12</v>
      </c>
      <c r="J267">
        <v>1000</v>
      </c>
      <c r="K267" t="s">
        <v>748</v>
      </c>
      <c r="L267" t="s">
        <v>749</v>
      </c>
      <c r="M267" t="str">
        <f t="shared" si="13"/>
        <v>Friday</v>
      </c>
    </row>
    <row r="268" spans="1:13" x14ac:dyDescent="0.3">
      <c r="A268" s="4">
        <f t="shared" si="12"/>
        <v>46157</v>
      </c>
      <c r="B268">
        <v>15</v>
      </c>
      <c r="C268" t="s">
        <v>207</v>
      </c>
      <c r="D268" cm="1">
        <f t="array" ref="D268">_xlfn.SWITCH(C268, "JAN", 1, "FEB", 2, "MAR", 3, "APR", 4,"MAY", 5, "JUN",6, "JUL", 7, "AUG", 8, "SEP", 9, "OCT", 10, "NOV", 11, "DEC", 12, "NO")</f>
        <v>5</v>
      </c>
      <c r="E268">
        <v>2026</v>
      </c>
      <c r="F268" t="s">
        <v>750</v>
      </c>
      <c r="G268">
        <f t="shared" si="14"/>
        <v>16</v>
      </c>
      <c r="H268">
        <v>37</v>
      </c>
      <c r="I268" t="s">
        <v>12</v>
      </c>
      <c r="J268">
        <v>1000</v>
      </c>
      <c r="K268" t="s">
        <v>751</v>
      </c>
      <c r="L268" t="s">
        <v>752</v>
      </c>
      <c r="M268" t="str">
        <f t="shared" si="13"/>
        <v>Friday</v>
      </c>
    </row>
    <row r="269" spans="1:13" x14ac:dyDescent="0.3">
      <c r="A269" s="4">
        <f t="shared" si="12"/>
        <v>46157</v>
      </c>
      <c r="B269">
        <v>15</v>
      </c>
      <c r="C269" t="s">
        <v>207</v>
      </c>
      <c r="D269" cm="1">
        <f t="array" ref="D269">_xlfn.SWITCH(C269, "JAN", 1, "FEB", 2, "MAR", 3, "APR", 4,"MAY", 5, "JUN",6, "JUL", 7, "AUG", 8, "SEP", 9, "OCT", 10, "NOV", 11, "DEC", 12, "NO")</f>
        <v>5</v>
      </c>
      <c r="E269">
        <v>2026</v>
      </c>
      <c r="F269" t="s">
        <v>753</v>
      </c>
      <c r="G269">
        <f t="shared" si="14"/>
        <v>16</v>
      </c>
      <c r="H269">
        <v>30</v>
      </c>
      <c r="I269" t="s">
        <v>12</v>
      </c>
      <c r="J269">
        <v>2000</v>
      </c>
      <c r="K269" t="s">
        <v>754</v>
      </c>
      <c r="L269" t="s">
        <v>755</v>
      </c>
      <c r="M269" t="str">
        <f t="shared" si="13"/>
        <v>Friday</v>
      </c>
    </row>
    <row r="270" spans="1:13" x14ac:dyDescent="0.3">
      <c r="A270" s="4">
        <f t="shared" si="12"/>
        <v>46157</v>
      </c>
      <c r="B270">
        <v>15</v>
      </c>
      <c r="C270" t="s">
        <v>207</v>
      </c>
      <c r="D270" cm="1">
        <f t="array" ref="D270">_xlfn.SWITCH(C270, "JAN", 1, "FEB", 2, "MAR", 3, "APR", 4,"MAY", 5, "JUN",6, "JUL", 7, "AUG", 8, "SEP", 9, "OCT", 10, "NOV", 11, "DEC", 12, "NO")</f>
        <v>5</v>
      </c>
      <c r="E270">
        <v>2026</v>
      </c>
      <c r="F270" t="s">
        <v>756</v>
      </c>
      <c r="G270">
        <f t="shared" si="14"/>
        <v>15</v>
      </c>
      <c r="H270">
        <v>42</v>
      </c>
      <c r="I270" t="s">
        <v>12</v>
      </c>
      <c r="J270">
        <v>1000</v>
      </c>
      <c r="K270" t="s">
        <v>757</v>
      </c>
      <c r="L270" t="s">
        <v>758</v>
      </c>
      <c r="M270" t="str">
        <f t="shared" si="13"/>
        <v>Friday</v>
      </c>
    </row>
    <row r="271" spans="1:13" x14ac:dyDescent="0.3">
      <c r="A271" s="4">
        <f t="shared" si="12"/>
        <v>46157</v>
      </c>
      <c r="B271">
        <v>15</v>
      </c>
      <c r="C271" t="s">
        <v>207</v>
      </c>
      <c r="D271" cm="1">
        <f t="array" ref="D271">_xlfn.SWITCH(C271, "JAN", 1, "FEB", 2, "MAR", 3, "APR", 4,"MAY", 5, "JUN",6, "JUL", 7, "AUG", 8, "SEP", 9, "OCT", 10, "NOV", 11, "DEC", 12, "NO")</f>
        <v>5</v>
      </c>
      <c r="E271">
        <v>2026</v>
      </c>
      <c r="F271" t="s">
        <v>759</v>
      </c>
      <c r="G271">
        <f t="shared" si="14"/>
        <v>15</v>
      </c>
      <c r="H271">
        <v>13</v>
      </c>
      <c r="I271" t="s">
        <v>12</v>
      </c>
      <c r="J271">
        <v>1000</v>
      </c>
      <c r="K271" t="s">
        <v>760</v>
      </c>
      <c r="L271" t="s">
        <v>761</v>
      </c>
      <c r="M271" t="str">
        <f t="shared" si="13"/>
        <v>Friday</v>
      </c>
    </row>
    <row r="272" spans="1:13" x14ac:dyDescent="0.3">
      <c r="A272" s="4">
        <f t="shared" si="12"/>
        <v>46157</v>
      </c>
      <c r="B272">
        <v>15</v>
      </c>
      <c r="C272" t="s">
        <v>207</v>
      </c>
      <c r="D272" cm="1">
        <f t="array" ref="D272">_xlfn.SWITCH(C272, "JAN", 1, "FEB", 2, "MAR", 3, "APR", 4,"MAY", 5, "JUN",6, "JUL", 7, "AUG", 8, "SEP", 9, "OCT", 10, "NOV", 11, "DEC", 12, "NO")</f>
        <v>5</v>
      </c>
      <c r="E272">
        <v>2026</v>
      </c>
      <c r="F272" t="s">
        <v>762</v>
      </c>
      <c r="G272">
        <f t="shared" si="14"/>
        <v>14</v>
      </c>
      <c r="H272">
        <v>57</v>
      </c>
      <c r="I272" t="s">
        <v>12</v>
      </c>
      <c r="J272">
        <v>1000</v>
      </c>
      <c r="K272" t="s">
        <v>763</v>
      </c>
      <c r="L272" t="s">
        <v>764</v>
      </c>
      <c r="M272" t="str">
        <f t="shared" si="13"/>
        <v>Friday</v>
      </c>
    </row>
    <row r="273" spans="1:13" x14ac:dyDescent="0.3">
      <c r="A273" s="4">
        <f t="shared" si="12"/>
        <v>46157</v>
      </c>
      <c r="B273">
        <v>15</v>
      </c>
      <c r="C273" t="s">
        <v>207</v>
      </c>
      <c r="D273" cm="1">
        <f t="array" ref="D273">_xlfn.SWITCH(C273, "JAN", 1, "FEB", 2, "MAR", 3, "APR", 4,"MAY", 5, "JUN",6, "JUL", 7, "AUG", 8, "SEP", 9, "OCT", 10, "NOV", 11, "DEC", 12, "NO")</f>
        <v>5</v>
      </c>
      <c r="E273">
        <v>2026</v>
      </c>
      <c r="F273" t="s">
        <v>765</v>
      </c>
      <c r="G273">
        <f t="shared" si="14"/>
        <v>14</v>
      </c>
      <c r="H273">
        <v>48</v>
      </c>
      <c r="I273" t="s">
        <v>12</v>
      </c>
      <c r="J273">
        <v>1000</v>
      </c>
      <c r="K273" t="s">
        <v>766</v>
      </c>
      <c r="L273" t="s">
        <v>767</v>
      </c>
      <c r="M273" t="str">
        <f t="shared" si="13"/>
        <v>Friday</v>
      </c>
    </row>
    <row r="274" spans="1:13" x14ac:dyDescent="0.3">
      <c r="A274" s="4">
        <f t="shared" si="12"/>
        <v>46157</v>
      </c>
      <c r="B274">
        <v>15</v>
      </c>
      <c r="C274" t="s">
        <v>207</v>
      </c>
      <c r="D274" cm="1">
        <f t="array" ref="D274">_xlfn.SWITCH(C274, "JAN", 1, "FEB", 2, "MAR", 3, "APR", 4,"MAY", 5, "JUN",6, "JUL", 7, "AUG", 8, "SEP", 9, "OCT", 10, "NOV", 11, "DEC", 12, "NO")</f>
        <v>5</v>
      </c>
      <c r="E274">
        <v>2026</v>
      </c>
      <c r="F274" t="s">
        <v>768</v>
      </c>
      <c r="G274">
        <f t="shared" si="14"/>
        <v>14</v>
      </c>
      <c r="H274">
        <v>43</v>
      </c>
      <c r="I274" t="s">
        <v>12</v>
      </c>
      <c r="J274">
        <v>990</v>
      </c>
      <c r="K274" t="s">
        <v>769</v>
      </c>
      <c r="L274" t="s">
        <v>770</v>
      </c>
      <c r="M274" t="str">
        <f t="shared" si="13"/>
        <v>Friday</v>
      </c>
    </row>
    <row r="275" spans="1:13" x14ac:dyDescent="0.3">
      <c r="A275" s="4">
        <f t="shared" si="12"/>
        <v>46157</v>
      </c>
      <c r="B275">
        <v>15</v>
      </c>
      <c r="C275" t="s">
        <v>207</v>
      </c>
      <c r="D275" cm="1">
        <f t="array" ref="D275">_xlfn.SWITCH(C275, "JAN", 1, "FEB", 2, "MAR", 3, "APR", 4,"MAY", 5, "JUN",6, "JUL", 7, "AUG", 8, "SEP", 9, "OCT", 10, "NOV", 11, "DEC", 12, "NO")</f>
        <v>5</v>
      </c>
      <c r="E275">
        <v>2026</v>
      </c>
      <c r="F275" t="s">
        <v>771</v>
      </c>
      <c r="G275">
        <f t="shared" si="14"/>
        <v>14</v>
      </c>
      <c r="H275">
        <v>21</v>
      </c>
      <c r="I275" t="s">
        <v>12</v>
      </c>
      <c r="J275">
        <v>2500</v>
      </c>
      <c r="K275" t="s">
        <v>772</v>
      </c>
      <c r="L275" t="s">
        <v>773</v>
      </c>
      <c r="M275" t="str">
        <f t="shared" si="13"/>
        <v>Friday</v>
      </c>
    </row>
    <row r="276" spans="1:13" x14ac:dyDescent="0.3">
      <c r="A276" s="4">
        <f t="shared" si="12"/>
        <v>46157</v>
      </c>
      <c r="B276">
        <v>15</v>
      </c>
      <c r="C276" t="s">
        <v>207</v>
      </c>
      <c r="D276" cm="1">
        <f t="array" ref="D276">_xlfn.SWITCH(C276, "JAN", 1, "FEB", 2, "MAR", 3, "APR", 4,"MAY", 5, "JUN",6, "JUL", 7, "AUG", 8, "SEP", 9, "OCT", 10, "NOV", 11, "DEC", 12, "NO")</f>
        <v>5</v>
      </c>
      <c r="E276">
        <v>2026</v>
      </c>
      <c r="F276" t="s">
        <v>774</v>
      </c>
      <c r="G276">
        <f t="shared" si="14"/>
        <v>14</v>
      </c>
      <c r="H276">
        <v>16</v>
      </c>
      <c r="I276" t="s">
        <v>12</v>
      </c>
      <c r="J276">
        <v>1050</v>
      </c>
      <c r="K276" t="s">
        <v>775</v>
      </c>
      <c r="L276" t="s">
        <v>776</v>
      </c>
      <c r="M276" t="str">
        <f t="shared" si="13"/>
        <v>Friday</v>
      </c>
    </row>
    <row r="277" spans="1:13" x14ac:dyDescent="0.3">
      <c r="A277" s="4">
        <f t="shared" si="12"/>
        <v>46157</v>
      </c>
      <c r="B277">
        <v>15</v>
      </c>
      <c r="C277" t="s">
        <v>207</v>
      </c>
      <c r="D277" cm="1">
        <f t="array" ref="D277">_xlfn.SWITCH(C277, "JAN", 1, "FEB", 2, "MAR", 3, "APR", 4,"MAY", 5, "JUN",6, "JUL", 7, "AUG", 8, "SEP", 9, "OCT", 10, "NOV", 11, "DEC", 12, "NO")</f>
        <v>5</v>
      </c>
      <c r="E277">
        <v>2026</v>
      </c>
      <c r="F277" t="s">
        <v>774</v>
      </c>
      <c r="G277">
        <f t="shared" si="14"/>
        <v>14</v>
      </c>
      <c r="H277">
        <v>16</v>
      </c>
      <c r="I277" t="s">
        <v>12</v>
      </c>
      <c r="J277">
        <v>1000</v>
      </c>
      <c r="K277" t="s">
        <v>777</v>
      </c>
      <c r="L277" t="s">
        <v>778</v>
      </c>
      <c r="M277" t="str">
        <f t="shared" si="13"/>
        <v>Friday</v>
      </c>
    </row>
    <row r="278" spans="1:13" x14ac:dyDescent="0.3">
      <c r="A278" s="4">
        <f t="shared" si="12"/>
        <v>46157</v>
      </c>
      <c r="B278">
        <v>15</v>
      </c>
      <c r="C278" t="s">
        <v>207</v>
      </c>
      <c r="D278" cm="1">
        <f t="array" ref="D278">_xlfn.SWITCH(C278, "JAN", 1, "FEB", 2, "MAR", 3, "APR", 4,"MAY", 5, "JUN",6, "JUL", 7, "AUG", 8, "SEP", 9, "OCT", 10, "NOV", 11, "DEC", 12, "NO")</f>
        <v>5</v>
      </c>
      <c r="E278">
        <v>2026</v>
      </c>
      <c r="F278" t="s">
        <v>547</v>
      </c>
      <c r="G278">
        <f t="shared" si="14"/>
        <v>14</v>
      </c>
      <c r="H278">
        <v>9</v>
      </c>
      <c r="I278" t="s">
        <v>12</v>
      </c>
      <c r="J278">
        <v>1010</v>
      </c>
      <c r="K278" t="s">
        <v>779</v>
      </c>
      <c r="L278" t="s">
        <v>780</v>
      </c>
      <c r="M278" t="str">
        <f t="shared" si="13"/>
        <v>Friday</v>
      </c>
    </row>
    <row r="279" spans="1:13" x14ac:dyDescent="0.3">
      <c r="A279" s="4">
        <f t="shared" si="12"/>
        <v>46156</v>
      </c>
      <c r="B279">
        <v>14</v>
      </c>
      <c r="C279" t="s">
        <v>207</v>
      </c>
      <c r="D279" cm="1">
        <f t="array" ref="D279">_xlfn.SWITCH(C279, "JAN", 1, "FEB", 2, "MAR", 3, "APR", 4,"MAY", 5, "JUN",6, "JUL", 7, "AUG", 8, "SEP", 9, "OCT", 10, "NOV", 11, "DEC", 12, "NO")</f>
        <v>5</v>
      </c>
      <c r="E279">
        <v>2026</v>
      </c>
      <c r="F279" t="s">
        <v>781</v>
      </c>
      <c r="G279">
        <f t="shared" si="14"/>
        <v>19</v>
      </c>
      <c r="H279">
        <v>55</v>
      </c>
      <c r="I279" t="s">
        <v>84</v>
      </c>
      <c r="J279">
        <v>12545</v>
      </c>
      <c r="K279" t="s">
        <v>782</v>
      </c>
      <c r="L279" t="s">
        <v>783</v>
      </c>
      <c r="M279" t="str">
        <f t="shared" si="13"/>
        <v>Thursday</v>
      </c>
    </row>
    <row r="280" spans="1:13" x14ac:dyDescent="0.3">
      <c r="A280" s="4">
        <f t="shared" si="12"/>
        <v>46156</v>
      </c>
      <c r="B280">
        <v>14</v>
      </c>
      <c r="C280" t="s">
        <v>207</v>
      </c>
      <c r="D280" cm="1">
        <f t="array" ref="D280">_xlfn.SWITCH(C280, "JAN", 1, "FEB", 2, "MAR", 3, "APR", 4,"MAY", 5, "JUN",6, "JUL", 7, "AUG", 8, "SEP", 9, "OCT", 10, "NOV", 11, "DEC", 12, "NO")</f>
        <v>5</v>
      </c>
      <c r="E280">
        <v>2026</v>
      </c>
      <c r="F280" t="s">
        <v>229</v>
      </c>
      <c r="G280">
        <f t="shared" si="14"/>
        <v>19</v>
      </c>
      <c r="H280">
        <v>48</v>
      </c>
      <c r="I280" t="s">
        <v>12</v>
      </c>
      <c r="J280">
        <v>510</v>
      </c>
      <c r="K280" t="s">
        <v>784</v>
      </c>
      <c r="L280" t="s">
        <v>785</v>
      </c>
      <c r="M280" t="str">
        <f t="shared" si="13"/>
        <v>Thursday</v>
      </c>
    </row>
    <row r="281" spans="1:13" x14ac:dyDescent="0.3">
      <c r="A281" s="4">
        <f t="shared" si="12"/>
        <v>46156</v>
      </c>
      <c r="B281">
        <v>14</v>
      </c>
      <c r="C281" t="s">
        <v>207</v>
      </c>
      <c r="D281" cm="1">
        <f t="array" ref="D281">_xlfn.SWITCH(C281, "JAN", 1, "FEB", 2, "MAR", 3, "APR", 4,"MAY", 5, "JUN",6, "JUL", 7, "AUG", 8, "SEP", 9, "OCT", 10, "NOV", 11, "DEC", 12, "NO")</f>
        <v>5</v>
      </c>
      <c r="E281">
        <v>2026</v>
      </c>
      <c r="F281" t="s">
        <v>558</v>
      </c>
      <c r="G281">
        <f t="shared" si="14"/>
        <v>19</v>
      </c>
      <c r="H281">
        <v>21</v>
      </c>
      <c r="I281" t="s">
        <v>12</v>
      </c>
      <c r="J281">
        <v>2500</v>
      </c>
      <c r="K281" t="s">
        <v>786</v>
      </c>
      <c r="L281" t="s">
        <v>787</v>
      </c>
      <c r="M281" t="str">
        <f t="shared" si="13"/>
        <v>Thursday</v>
      </c>
    </row>
    <row r="282" spans="1:13" x14ac:dyDescent="0.3">
      <c r="A282" s="4">
        <f t="shared" si="12"/>
        <v>46156</v>
      </c>
      <c r="B282">
        <v>14</v>
      </c>
      <c r="C282" t="s">
        <v>207</v>
      </c>
      <c r="D282" cm="1">
        <f t="array" ref="D282">_xlfn.SWITCH(C282, "JAN", 1, "FEB", 2, "MAR", 3, "APR", 4,"MAY", 5, "JUN",6, "JUL", 7, "AUG", 8, "SEP", 9, "OCT", 10, "NOV", 11, "DEC", 12, "NO")</f>
        <v>5</v>
      </c>
      <c r="E282">
        <v>2026</v>
      </c>
      <c r="F282" t="s">
        <v>258</v>
      </c>
      <c r="G282">
        <f t="shared" si="14"/>
        <v>18</v>
      </c>
      <c r="H282">
        <v>52</v>
      </c>
      <c r="I282" t="s">
        <v>12</v>
      </c>
      <c r="J282">
        <v>970</v>
      </c>
      <c r="K282" t="s">
        <v>788</v>
      </c>
      <c r="L282" t="s">
        <v>789</v>
      </c>
      <c r="M282" t="str">
        <f t="shared" si="13"/>
        <v>Thursday</v>
      </c>
    </row>
    <row r="283" spans="1:13" x14ac:dyDescent="0.3">
      <c r="A283" s="4">
        <f t="shared" si="12"/>
        <v>46156</v>
      </c>
      <c r="B283">
        <v>14</v>
      </c>
      <c r="C283" t="s">
        <v>207</v>
      </c>
      <c r="D283" cm="1">
        <f t="array" ref="D283">_xlfn.SWITCH(C283, "JAN", 1, "FEB", 2, "MAR", 3, "APR", 4,"MAY", 5, "JUN",6, "JUL", 7, "AUG", 8, "SEP", 9, "OCT", 10, "NOV", 11, "DEC", 12, "NO")</f>
        <v>5</v>
      </c>
      <c r="E283">
        <v>2026</v>
      </c>
      <c r="F283" t="s">
        <v>790</v>
      </c>
      <c r="G283">
        <f t="shared" si="14"/>
        <v>18</v>
      </c>
      <c r="H283">
        <v>15</v>
      </c>
      <c r="I283" t="s">
        <v>12</v>
      </c>
      <c r="J283">
        <v>1000</v>
      </c>
      <c r="K283" t="s">
        <v>791</v>
      </c>
      <c r="L283" t="s">
        <v>792</v>
      </c>
      <c r="M283" t="str">
        <f t="shared" si="13"/>
        <v>Thursday</v>
      </c>
    </row>
    <row r="284" spans="1:13" x14ac:dyDescent="0.3">
      <c r="A284" s="4">
        <f t="shared" si="12"/>
        <v>46156</v>
      </c>
      <c r="B284">
        <v>14</v>
      </c>
      <c r="C284" t="s">
        <v>207</v>
      </c>
      <c r="D284" cm="1">
        <f t="array" ref="D284">_xlfn.SWITCH(C284, "JAN", 1, "FEB", 2, "MAR", 3, "APR", 4,"MAY", 5, "JUN",6, "JUL", 7, "AUG", 8, "SEP", 9, "OCT", 10, "NOV", 11, "DEC", 12, "NO")</f>
        <v>5</v>
      </c>
      <c r="E284">
        <v>2026</v>
      </c>
      <c r="F284" t="s">
        <v>269</v>
      </c>
      <c r="G284">
        <f t="shared" si="14"/>
        <v>18</v>
      </c>
      <c r="H284">
        <v>13</v>
      </c>
      <c r="I284" t="s">
        <v>12</v>
      </c>
      <c r="J284">
        <v>2500</v>
      </c>
      <c r="K284" t="s">
        <v>793</v>
      </c>
      <c r="L284" t="s">
        <v>794</v>
      </c>
      <c r="M284" t="str">
        <f t="shared" si="13"/>
        <v>Thursday</v>
      </c>
    </row>
    <row r="285" spans="1:13" x14ac:dyDescent="0.3">
      <c r="A285" s="4">
        <f t="shared" si="12"/>
        <v>46156</v>
      </c>
      <c r="B285">
        <v>14</v>
      </c>
      <c r="C285" t="s">
        <v>207</v>
      </c>
      <c r="D285" cm="1">
        <f t="array" ref="D285">_xlfn.SWITCH(C285, "JAN", 1, "FEB", 2, "MAR", 3, "APR", 4,"MAY", 5, "JUN",6, "JUL", 7, "AUG", 8, "SEP", 9, "OCT", 10, "NOV", 11, "DEC", 12, "NO")</f>
        <v>5</v>
      </c>
      <c r="E285">
        <v>2026</v>
      </c>
      <c r="F285" t="s">
        <v>401</v>
      </c>
      <c r="G285">
        <f t="shared" si="14"/>
        <v>18</v>
      </c>
      <c r="H285">
        <v>8</v>
      </c>
      <c r="I285" t="s">
        <v>12</v>
      </c>
      <c r="J285">
        <v>1000</v>
      </c>
      <c r="K285" t="s">
        <v>795</v>
      </c>
      <c r="L285" t="s">
        <v>796</v>
      </c>
      <c r="M285" t="str">
        <f t="shared" si="13"/>
        <v>Thursday</v>
      </c>
    </row>
    <row r="286" spans="1:13" x14ac:dyDescent="0.3">
      <c r="A286" s="4">
        <f t="shared" si="12"/>
        <v>46156</v>
      </c>
      <c r="B286">
        <v>14</v>
      </c>
      <c r="C286" t="s">
        <v>207</v>
      </c>
      <c r="D286" cm="1">
        <f t="array" ref="D286">_xlfn.SWITCH(C286, "JAN", 1, "FEB", 2, "MAR", 3, "APR", 4,"MAY", 5, "JUN",6, "JUL", 7, "AUG", 8, "SEP", 9, "OCT", 10, "NOV", 11, "DEC", 12, "NO")</f>
        <v>5</v>
      </c>
      <c r="E286">
        <v>2026</v>
      </c>
      <c r="F286" t="s">
        <v>96</v>
      </c>
      <c r="G286">
        <f t="shared" si="14"/>
        <v>18</v>
      </c>
      <c r="H286">
        <v>2</v>
      </c>
      <c r="I286" t="s">
        <v>12</v>
      </c>
      <c r="J286">
        <v>1000</v>
      </c>
      <c r="K286" t="s">
        <v>797</v>
      </c>
      <c r="L286" t="s">
        <v>798</v>
      </c>
      <c r="M286" t="str">
        <f t="shared" si="13"/>
        <v>Thursday</v>
      </c>
    </row>
    <row r="287" spans="1:13" x14ac:dyDescent="0.3">
      <c r="A287" s="4">
        <f t="shared" si="12"/>
        <v>46156</v>
      </c>
      <c r="B287">
        <v>14</v>
      </c>
      <c r="C287" t="s">
        <v>207</v>
      </c>
      <c r="D287" cm="1">
        <f t="array" ref="D287">_xlfn.SWITCH(C287, "JAN", 1, "FEB", 2, "MAR", 3, "APR", 4,"MAY", 5, "JUN",6, "JUL", 7, "AUG", 8, "SEP", 9, "OCT", 10, "NOV", 11, "DEC", 12, "NO")</f>
        <v>5</v>
      </c>
      <c r="E287">
        <v>2026</v>
      </c>
      <c r="F287" t="s">
        <v>747</v>
      </c>
      <c r="G287">
        <f t="shared" si="14"/>
        <v>16</v>
      </c>
      <c r="H287">
        <v>48</v>
      </c>
      <c r="I287" t="s">
        <v>12</v>
      </c>
      <c r="J287">
        <v>1000</v>
      </c>
      <c r="K287" t="s">
        <v>799</v>
      </c>
      <c r="L287" t="s">
        <v>800</v>
      </c>
      <c r="M287" t="str">
        <f t="shared" si="13"/>
        <v>Thursday</v>
      </c>
    </row>
    <row r="288" spans="1:13" x14ac:dyDescent="0.3">
      <c r="A288" s="4">
        <f t="shared" si="12"/>
        <v>46156</v>
      </c>
      <c r="B288">
        <v>14</v>
      </c>
      <c r="C288" t="s">
        <v>207</v>
      </c>
      <c r="D288" cm="1">
        <f t="array" ref="D288">_xlfn.SWITCH(C288, "JAN", 1, "FEB", 2, "MAR", 3, "APR", 4,"MAY", 5, "JUN",6, "JUL", 7, "AUG", 8, "SEP", 9, "OCT", 10, "NOV", 11, "DEC", 12, "NO")</f>
        <v>5</v>
      </c>
      <c r="E288">
        <v>2026</v>
      </c>
      <c r="F288" t="s">
        <v>471</v>
      </c>
      <c r="G288">
        <f t="shared" si="14"/>
        <v>16</v>
      </c>
      <c r="H288">
        <v>20</v>
      </c>
      <c r="I288" t="s">
        <v>12</v>
      </c>
      <c r="J288">
        <v>30</v>
      </c>
      <c r="K288" t="s">
        <v>801</v>
      </c>
      <c r="L288" t="s">
        <v>802</v>
      </c>
      <c r="M288" t="str">
        <f t="shared" si="13"/>
        <v>Thursday</v>
      </c>
    </row>
    <row r="289" spans="1:13" x14ac:dyDescent="0.3">
      <c r="A289" s="4">
        <f t="shared" si="12"/>
        <v>46156</v>
      </c>
      <c r="B289">
        <v>14</v>
      </c>
      <c r="C289" t="s">
        <v>207</v>
      </c>
      <c r="D289" cm="1">
        <f t="array" ref="D289">_xlfn.SWITCH(C289, "JAN", 1, "FEB", 2, "MAR", 3, "APR", 4,"MAY", 5, "JUN",6, "JUL", 7, "AUG", 8, "SEP", 9, "OCT", 10, "NOV", 11, "DEC", 12, "NO")</f>
        <v>5</v>
      </c>
      <c r="E289">
        <v>2026</v>
      </c>
      <c r="F289" t="s">
        <v>803</v>
      </c>
      <c r="G289">
        <f t="shared" si="14"/>
        <v>16</v>
      </c>
      <c r="H289">
        <v>1</v>
      </c>
      <c r="I289" t="s">
        <v>12</v>
      </c>
      <c r="J289">
        <v>1000</v>
      </c>
      <c r="K289" t="s">
        <v>804</v>
      </c>
      <c r="L289" t="s">
        <v>805</v>
      </c>
      <c r="M289" t="str">
        <f t="shared" si="13"/>
        <v>Thursday</v>
      </c>
    </row>
    <row r="290" spans="1:13" x14ac:dyDescent="0.3">
      <c r="A290" s="4">
        <f t="shared" si="12"/>
        <v>46156</v>
      </c>
      <c r="B290">
        <v>14</v>
      </c>
      <c r="C290" t="s">
        <v>207</v>
      </c>
      <c r="D290" cm="1">
        <f t="array" ref="D290">_xlfn.SWITCH(C290, "JAN", 1, "FEB", 2, "MAR", 3, "APR", 4,"MAY", 5, "JUN",6, "JUL", 7, "AUG", 8, "SEP", 9, "OCT", 10, "NOV", 11, "DEC", 12, "NO")</f>
        <v>5</v>
      </c>
      <c r="E290">
        <v>2026</v>
      </c>
      <c r="F290" t="s">
        <v>129</v>
      </c>
      <c r="G290">
        <f t="shared" si="14"/>
        <v>15</v>
      </c>
      <c r="H290">
        <v>54</v>
      </c>
      <c r="I290" t="s">
        <v>12</v>
      </c>
      <c r="J290">
        <v>1000</v>
      </c>
      <c r="K290" t="s">
        <v>806</v>
      </c>
      <c r="L290" t="s">
        <v>807</v>
      </c>
      <c r="M290" t="str">
        <f t="shared" si="13"/>
        <v>Thursday</v>
      </c>
    </row>
    <row r="291" spans="1:13" x14ac:dyDescent="0.3">
      <c r="A291" s="4">
        <f t="shared" si="12"/>
        <v>46156</v>
      </c>
      <c r="B291">
        <v>14</v>
      </c>
      <c r="C291" t="s">
        <v>207</v>
      </c>
      <c r="D291" cm="1">
        <f t="array" ref="D291">_xlfn.SWITCH(C291, "JAN", 1, "FEB", 2, "MAR", 3, "APR", 4,"MAY", 5, "JUN",6, "JUL", 7, "AUG", 8, "SEP", 9, "OCT", 10, "NOV", 11, "DEC", 12, "NO")</f>
        <v>5</v>
      </c>
      <c r="E291">
        <v>2026</v>
      </c>
      <c r="F291" t="s">
        <v>808</v>
      </c>
      <c r="G291">
        <f t="shared" si="14"/>
        <v>14</v>
      </c>
      <c r="H291">
        <v>30</v>
      </c>
      <c r="I291" t="s">
        <v>12</v>
      </c>
      <c r="J291">
        <v>32</v>
      </c>
      <c r="K291" t="s">
        <v>809</v>
      </c>
      <c r="L291" t="s">
        <v>810</v>
      </c>
      <c r="M291" t="str">
        <f t="shared" si="13"/>
        <v>Thursday</v>
      </c>
    </row>
    <row r="292" spans="1:13" x14ac:dyDescent="0.3">
      <c r="A292" s="4">
        <f t="shared" si="12"/>
        <v>46155</v>
      </c>
      <c r="B292">
        <v>13</v>
      </c>
      <c r="C292" t="s">
        <v>207</v>
      </c>
      <c r="D292" cm="1">
        <f t="array" ref="D292">_xlfn.SWITCH(C292, "JAN", 1, "FEB", 2, "MAR", 3, "APR", 4,"MAY", 5, "JUN",6, "JUL", 7, "AUG", 8, "SEP", 9, "OCT", 10, "NOV", 11, "DEC", 12, "NO")</f>
        <v>5</v>
      </c>
      <c r="E292">
        <v>2026</v>
      </c>
      <c r="F292" t="s">
        <v>811</v>
      </c>
      <c r="G292">
        <f t="shared" si="14"/>
        <v>20</v>
      </c>
      <c r="H292">
        <v>20</v>
      </c>
      <c r="I292" t="s">
        <v>84</v>
      </c>
      <c r="J292">
        <v>23160</v>
      </c>
      <c r="K292" t="s">
        <v>812</v>
      </c>
      <c r="L292" t="s">
        <v>813</v>
      </c>
      <c r="M292" t="str">
        <f t="shared" si="13"/>
        <v>Wednesday</v>
      </c>
    </row>
    <row r="293" spans="1:13" x14ac:dyDescent="0.3">
      <c r="A293" s="4">
        <f t="shared" si="12"/>
        <v>46155</v>
      </c>
      <c r="B293">
        <v>13</v>
      </c>
      <c r="C293" t="s">
        <v>207</v>
      </c>
      <c r="D293" cm="1">
        <f t="array" ref="D293">_xlfn.SWITCH(C293, "JAN", 1, "FEB", 2, "MAR", 3, "APR", 4,"MAY", 5, "JUN",6, "JUL", 7, "AUG", 8, "SEP", 9, "OCT", 10, "NOV", 11, "DEC", 12, "NO")</f>
        <v>5</v>
      </c>
      <c r="E293">
        <v>2026</v>
      </c>
      <c r="F293" t="s">
        <v>679</v>
      </c>
      <c r="G293">
        <f t="shared" si="14"/>
        <v>17</v>
      </c>
      <c r="H293">
        <v>27</v>
      </c>
      <c r="I293" t="s">
        <v>12</v>
      </c>
      <c r="J293">
        <v>1000</v>
      </c>
      <c r="K293" t="s">
        <v>814</v>
      </c>
      <c r="L293" t="s">
        <v>815</v>
      </c>
      <c r="M293" t="str">
        <f t="shared" si="13"/>
        <v>Wednesday</v>
      </c>
    </row>
    <row r="294" spans="1:13" x14ac:dyDescent="0.3">
      <c r="A294" s="4">
        <f t="shared" si="12"/>
        <v>46155</v>
      </c>
      <c r="B294">
        <v>13</v>
      </c>
      <c r="C294" t="s">
        <v>207</v>
      </c>
      <c r="D294" cm="1">
        <f t="array" ref="D294">_xlfn.SWITCH(C294, "JAN", 1, "FEB", 2, "MAR", 3, "APR", 4,"MAY", 5, "JUN",6, "JUL", 7, "AUG", 8, "SEP", 9, "OCT", 10, "NOV", 11, "DEC", 12, "NO")</f>
        <v>5</v>
      </c>
      <c r="E294">
        <v>2026</v>
      </c>
      <c r="F294" t="s">
        <v>331</v>
      </c>
      <c r="G294">
        <f t="shared" si="14"/>
        <v>17</v>
      </c>
      <c r="H294">
        <v>8</v>
      </c>
      <c r="I294" t="s">
        <v>12</v>
      </c>
      <c r="J294">
        <v>1000</v>
      </c>
      <c r="K294" t="s">
        <v>816</v>
      </c>
      <c r="L294" t="s">
        <v>817</v>
      </c>
      <c r="M294" t="str">
        <f t="shared" si="13"/>
        <v>Wednesday</v>
      </c>
    </row>
    <row r="295" spans="1:13" x14ac:dyDescent="0.3">
      <c r="A295" s="4">
        <f t="shared" si="12"/>
        <v>46155</v>
      </c>
      <c r="B295">
        <v>13</v>
      </c>
      <c r="C295" t="s">
        <v>207</v>
      </c>
      <c r="D295" cm="1">
        <f t="array" ref="D295">_xlfn.SWITCH(C295, "JAN", 1, "FEB", 2, "MAR", 3, "APR", 4,"MAY", 5, "JUN",6, "JUL", 7, "AUG", 8, "SEP", 9, "OCT", 10, "NOV", 11, "DEC", 12, "NO")</f>
        <v>5</v>
      </c>
      <c r="E295">
        <v>2026</v>
      </c>
      <c r="F295" t="s">
        <v>650</v>
      </c>
      <c r="G295">
        <f t="shared" si="14"/>
        <v>17</v>
      </c>
      <c r="H295">
        <v>1</v>
      </c>
      <c r="I295" t="s">
        <v>12</v>
      </c>
      <c r="J295">
        <v>1000</v>
      </c>
      <c r="K295" t="s">
        <v>818</v>
      </c>
      <c r="L295" t="s">
        <v>819</v>
      </c>
      <c r="M295" t="str">
        <f t="shared" si="13"/>
        <v>Wednesday</v>
      </c>
    </row>
    <row r="296" spans="1:13" x14ac:dyDescent="0.3">
      <c r="A296" s="4">
        <f t="shared" si="12"/>
        <v>46155</v>
      </c>
      <c r="B296">
        <v>13</v>
      </c>
      <c r="C296" t="s">
        <v>207</v>
      </c>
      <c r="D296" cm="1">
        <f t="array" ref="D296">_xlfn.SWITCH(C296, "JAN", 1, "FEB", 2, "MAR", 3, "APR", 4,"MAY", 5, "JUN",6, "JUL", 7, "AUG", 8, "SEP", 9, "OCT", 10, "NOV", 11, "DEC", 12, "NO")</f>
        <v>5</v>
      </c>
      <c r="E296">
        <v>2026</v>
      </c>
      <c r="F296" t="s">
        <v>337</v>
      </c>
      <c r="G296">
        <f t="shared" si="14"/>
        <v>16</v>
      </c>
      <c r="H296">
        <v>39</v>
      </c>
      <c r="I296" t="s">
        <v>12</v>
      </c>
      <c r="J296">
        <v>20</v>
      </c>
      <c r="K296" t="s">
        <v>820</v>
      </c>
      <c r="L296" t="s">
        <v>821</v>
      </c>
      <c r="M296" t="str">
        <f t="shared" si="13"/>
        <v>Wednesday</v>
      </c>
    </row>
    <row r="297" spans="1:13" x14ac:dyDescent="0.3">
      <c r="A297" s="4">
        <f t="shared" si="12"/>
        <v>46155</v>
      </c>
      <c r="B297">
        <v>13</v>
      </c>
      <c r="C297" t="s">
        <v>207</v>
      </c>
      <c r="D297" cm="1">
        <f t="array" ref="D297">_xlfn.SWITCH(C297, "JAN", 1, "FEB", 2, "MAR", 3, "APR", 4,"MAY", 5, "JUN",6, "JUL", 7, "AUG", 8, "SEP", 9, "OCT", 10, "NOV", 11, "DEC", 12, "NO")</f>
        <v>5</v>
      </c>
      <c r="E297">
        <v>2026</v>
      </c>
      <c r="F297" t="s">
        <v>822</v>
      </c>
      <c r="G297">
        <f t="shared" si="14"/>
        <v>16</v>
      </c>
      <c r="H297">
        <v>33</v>
      </c>
      <c r="I297" t="s">
        <v>12</v>
      </c>
      <c r="J297">
        <v>1000</v>
      </c>
      <c r="K297" t="s">
        <v>823</v>
      </c>
      <c r="L297" t="s">
        <v>824</v>
      </c>
      <c r="M297" t="str">
        <f t="shared" si="13"/>
        <v>Wednesday</v>
      </c>
    </row>
    <row r="298" spans="1:13" x14ac:dyDescent="0.3">
      <c r="A298" s="4">
        <f t="shared" si="12"/>
        <v>46155</v>
      </c>
      <c r="B298">
        <v>13</v>
      </c>
      <c r="C298" t="s">
        <v>207</v>
      </c>
      <c r="D298" cm="1">
        <f t="array" ref="D298">_xlfn.SWITCH(C298, "JAN", 1, "FEB", 2, "MAR", 3, "APR", 4,"MAY", 5, "JUN",6, "JUL", 7, "AUG", 8, "SEP", 9, "OCT", 10, "NOV", 11, "DEC", 12, "NO")</f>
        <v>5</v>
      </c>
      <c r="E298">
        <v>2026</v>
      </c>
      <c r="F298" t="s">
        <v>345</v>
      </c>
      <c r="G298">
        <f t="shared" si="14"/>
        <v>16</v>
      </c>
      <c r="H298">
        <v>28</v>
      </c>
      <c r="I298" t="s">
        <v>12</v>
      </c>
      <c r="J298">
        <v>1000</v>
      </c>
      <c r="K298" t="s">
        <v>825</v>
      </c>
      <c r="L298" t="s">
        <v>826</v>
      </c>
      <c r="M298" t="str">
        <f t="shared" si="13"/>
        <v>Wednesday</v>
      </c>
    </row>
    <row r="299" spans="1:13" x14ac:dyDescent="0.3">
      <c r="A299" s="4">
        <f t="shared" si="12"/>
        <v>46155</v>
      </c>
      <c r="B299">
        <v>13</v>
      </c>
      <c r="C299" t="s">
        <v>207</v>
      </c>
      <c r="D299" cm="1">
        <f t="array" ref="D299">_xlfn.SWITCH(C299, "JAN", 1, "FEB", 2, "MAR", 3, "APR", 4,"MAY", 5, "JUN",6, "JUL", 7, "AUG", 8, "SEP", 9, "OCT", 10, "NOV", 11, "DEC", 12, "NO")</f>
        <v>5</v>
      </c>
      <c r="E299">
        <v>2026</v>
      </c>
      <c r="F299" t="s">
        <v>415</v>
      </c>
      <c r="G299">
        <f t="shared" si="14"/>
        <v>15</v>
      </c>
      <c r="H299">
        <v>43</v>
      </c>
      <c r="I299" t="s">
        <v>12</v>
      </c>
      <c r="J299">
        <v>1000</v>
      </c>
      <c r="K299" t="s">
        <v>827</v>
      </c>
      <c r="L299" t="s">
        <v>828</v>
      </c>
      <c r="M299" t="str">
        <f t="shared" si="13"/>
        <v>Wednesday</v>
      </c>
    </row>
    <row r="300" spans="1:13" x14ac:dyDescent="0.3">
      <c r="A300" s="4">
        <f t="shared" si="12"/>
        <v>46155</v>
      </c>
      <c r="B300">
        <v>13</v>
      </c>
      <c r="C300" t="s">
        <v>207</v>
      </c>
      <c r="D300" cm="1">
        <f t="array" ref="D300">_xlfn.SWITCH(C300, "JAN", 1, "FEB", 2, "MAR", 3, "APR", 4,"MAY", 5, "JUN",6, "JUL", 7, "AUG", 8, "SEP", 9, "OCT", 10, "NOV", 11, "DEC", 12, "NO")</f>
        <v>5</v>
      </c>
      <c r="E300">
        <v>2026</v>
      </c>
      <c r="F300" t="s">
        <v>530</v>
      </c>
      <c r="G300">
        <f t="shared" si="14"/>
        <v>15</v>
      </c>
      <c r="H300">
        <v>37</v>
      </c>
      <c r="I300" t="s">
        <v>12</v>
      </c>
      <c r="J300">
        <v>1000</v>
      </c>
      <c r="K300" t="s">
        <v>829</v>
      </c>
      <c r="L300" t="s">
        <v>830</v>
      </c>
      <c r="M300" t="str">
        <f t="shared" si="13"/>
        <v>Wednesday</v>
      </c>
    </row>
    <row r="301" spans="1:13" x14ac:dyDescent="0.3">
      <c r="A301" s="4">
        <f t="shared" si="12"/>
        <v>46155</v>
      </c>
      <c r="B301">
        <v>13</v>
      </c>
      <c r="C301" t="s">
        <v>207</v>
      </c>
      <c r="D301" cm="1">
        <f t="array" ref="D301">_xlfn.SWITCH(C301, "JAN", 1, "FEB", 2, "MAR", 3, "APR", 4,"MAY", 5, "JUN",6, "JUL", 7, "AUG", 8, "SEP", 9, "OCT", 10, "NOV", 11, "DEC", 12, "NO")</f>
        <v>5</v>
      </c>
      <c r="E301">
        <v>2026</v>
      </c>
      <c r="F301" t="s">
        <v>831</v>
      </c>
      <c r="G301">
        <f t="shared" si="14"/>
        <v>15</v>
      </c>
      <c r="H301">
        <v>30</v>
      </c>
      <c r="I301" t="s">
        <v>12</v>
      </c>
      <c r="J301">
        <v>30</v>
      </c>
      <c r="K301" t="s">
        <v>832</v>
      </c>
      <c r="L301" t="s">
        <v>833</v>
      </c>
      <c r="M301" t="str">
        <f t="shared" si="13"/>
        <v>Wednesday</v>
      </c>
    </row>
    <row r="302" spans="1:13" x14ac:dyDescent="0.3">
      <c r="A302" s="4">
        <f t="shared" si="12"/>
        <v>46155</v>
      </c>
      <c r="B302">
        <v>13</v>
      </c>
      <c r="C302" t="s">
        <v>207</v>
      </c>
      <c r="D302" cm="1">
        <f t="array" ref="D302">_xlfn.SWITCH(C302, "JAN", 1, "FEB", 2, "MAR", 3, "APR", 4,"MAY", 5, "JUN",6, "JUL", 7, "AUG", 8, "SEP", 9, "OCT", 10, "NOV", 11, "DEC", 12, "NO")</f>
        <v>5</v>
      </c>
      <c r="E302">
        <v>2026</v>
      </c>
      <c r="F302" t="s">
        <v>834</v>
      </c>
      <c r="G302">
        <f t="shared" si="14"/>
        <v>15</v>
      </c>
      <c r="H302">
        <v>17</v>
      </c>
      <c r="I302" t="s">
        <v>12</v>
      </c>
      <c r="J302">
        <v>1000</v>
      </c>
      <c r="K302" t="s">
        <v>835</v>
      </c>
      <c r="L302" t="s">
        <v>836</v>
      </c>
      <c r="M302" t="str">
        <f t="shared" si="13"/>
        <v>Wednesday</v>
      </c>
    </row>
    <row r="303" spans="1:13" x14ac:dyDescent="0.3">
      <c r="A303" s="4">
        <f t="shared" si="12"/>
        <v>46155</v>
      </c>
      <c r="B303">
        <v>13</v>
      </c>
      <c r="C303" t="s">
        <v>207</v>
      </c>
      <c r="D303" cm="1">
        <f t="array" ref="D303">_xlfn.SWITCH(C303, "JAN", 1, "FEB", 2, "MAR", 3, "APR", 4,"MAY", 5, "JUN",6, "JUL", 7, "AUG", 8, "SEP", 9, "OCT", 10, "NOV", 11, "DEC", 12, "NO")</f>
        <v>5</v>
      </c>
      <c r="E303">
        <v>2026</v>
      </c>
      <c r="F303" t="s">
        <v>837</v>
      </c>
      <c r="G303">
        <f t="shared" si="14"/>
        <v>15</v>
      </c>
      <c r="H303">
        <v>9</v>
      </c>
      <c r="I303" t="s">
        <v>12</v>
      </c>
      <c r="J303">
        <v>1000</v>
      </c>
      <c r="K303" t="s">
        <v>838</v>
      </c>
      <c r="L303" t="s">
        <v>839</v>
      </c>
      <c r="M303" t="str">
        <f t="shared" si="13"/>
        <v>Wednesday</v>
      </c>
    </row>
    <row r="304" spans="1:13" x14ac:dyDescent="0.3">
      <c r="A304" s="4">
        <f t="shared" si="12"/>
        <v>46155</v>
      </c>
      <c r="B304">
        <v>13</v>
      </c>
      <c r="C304" t="s">
        <v>207</v>
      </c>
      <c r="D304" cm="1">
        <f t="array" ref="D304">_xlfn.SWITCH(C304, "JAN", 1, "FEB", 2, "MAR", 3, "APR", 4,"MAY", 5, "JUN",6, "JUL", 7, "AUG", 8, "SEP", 9, "OCT", 10, "NOV", 11, "DEC", 12, "NO")</f>
        <v>5</v>
      </c>
      <c r="E304">
        <v>2026</v>
      </c>
      <c r="F304" t="s">
        <v>840</v>
      </c>
      <c r="G304">
        <f t="shared" si="14"/>
        <v>13</v>
      </c>
      <c r="H304">
        <v>44</v>
      </c>
      <c r="I304" t="s">
        <v>12</v>
      </c>
      <c r="J304">
        <v>1000</v>
      </c>
      <c r="K304" t="s">
        <v>841</v>
      </c>
      <c r="L304" t="s">
        <v>842</v>
      </c>
      <c r="M304" t="str">
        <f t="shared" si="13"/>
        <v>Wednesday</v>
      </c>
    </row>
    <row r="305" spans="1:13" x14ac:dyDescent="0.3">
      <c r="A305" s="4">
        <f t="shared" si="12"/>
        <v>46155</v>
      </c>
      <c r="B305">
        <v>13</v>
      </c>
      <c r="C305" t="s">
        <v>207</v>
      </c>
      <c r="D305" cm="1">
        <f t="array" ref="D305">_xlfn.SWITCH(C305, "JAN", 1, "FEB", 2, "MAR", 3, "APR", 4,"MAY", 5, "JUN",6, "JUL", 7, "AUG", 8, "SEP", 9, "OCT", 10, "NOV", 11, "DEC", 12, "NO")</f>
        <v>5</v>
      </c>
      <c r="E305">
        <v>2026</v>
      </c>
      <c r="F305" t="s">
        <v>843</v>
      </c>
      <c r="G305">
        <f t="shared" si="14"/>
        <v>13</v>
      </c>
      <c r="H305">
        <v>36</v>
      </c>
      <c r="I305" t="s">
        <v>12</v>
      </c>
      <c r="J305">
        <v>1000</v>
      </c>
      <c r="K305" t="s">
        <v>844</v>
      </c>
      <c r="L305" t="s">
        <v>845</v>
      </c>
      <c r="M305" t="str">
        <f t="shared" si="13"/>
        <v>Wednesday</v>
      </c>
    </row>
    <row r="306" spans="1:13" x14ac:dyDescent="0.3">
      <c r="A306" s="4">
        <f t="shared" si="12"/>
        <v>46155</v>
      </c>
      <c r="B306">
        <v>13</v>
      </c>
      <c r="C306" t="s">
        <v>207</v>
      </c>
      <c r="D306" cm="1">
        <f t="array" ref="D306">_xlfn.SWITCH(C306, "JAN", 1, "FEB", 2, "MAR", 3, "APR", 4,"MAY", 5, "JUN",6, "JUL", 7, "AUG", 8, "SEP", 9, "OCT", 10, "NOV", 11, "DEC", 12, "NO")</f>
        <v>5</v>
      </c>
      <c r="E306">
        <v>2026</v>
      </c>
      <c r="F306" t="s">
        <v>846</v>
      </c>
      <c r="G306">
        <f t="shared" si="14"/>
        <v>13</v>
      </c>
      <c r="H306">
        <v>28</v>
      </c>
      <c r="I306" t="s">
        <v>12</v>
      </c>
      <c r="J306">
        <v>1000</v>
      </c>
      <c r="K306" t="s">
        <v>847</v>
      </c>
      <c r="L306" t="s">
        <v>848</v>
      </c>
      <c r="M306" t="str">
        <f t="shared" si="13"/>
        <v>Wednesday</v>
      </c>
    </row>
    <row r="307" spans="1:13" x14ac:dyDescent="0.3">
      <c r="A307" s="4">
        <f t="shared" si="12"/>
        <v>46155</v>
      </c>
      <c r="B307">
        <v>13</v>
      </c>
      <c r="C307" t="s">
        <v>207</v>
      </c>
      <c r="D307" cm="1">
        <f t="array" ref="D307">_xlfn.SWITCH(C307, "JAN", 1, "FEB", 2, "MAR", 3, "APR", 4,"MAY", 5, "JUN",6, "JUL", 7, "AUG", 8, "SEP", 9, "OCT", 10, "NOV", 11, "DEC", 12, "NO")</f>
        <v>5</v>
      </c>
      <c r="E307">
        <v>2026</v>
      </c>
      <c r="F307" t="s">
        <v>849</v>
      </c>
      <c r="G307">
        <f t="shared" si="14"/>
        <v>13</v>
      </c>
      <c r="H307">
        <v>9</v>
      </c>
      <c r="I307" t="s">
        <v>12</v>
      </c>
      <c r="J307">
        <v>1000</v>
      </c>
      <c r="K307" t="s">
        <v>850</v>
      </c>
      <c r="L307" t="s">
        <v>851</v>
      </c>
      <c r="M307" t="str">
        <f t="shared" si="13"/>
        <v>Wednesday</v>
      </c>
    </row>
    <row r="308" spans="1:13" x14ac:dyDescent="0.3">
      <c r="A308" s="4">
        <f t="shared" si="12"/>
        <v>46155</v>
      </c>
      <c r="B308">
        <v>13</v>
      </c>
      <c r="C308" t="s">
        <v>207</v>
      </c>
      <c r="D308" cm="1">
        <f t="array" ref="D308">_xlfn.SWITCH(C308, "JAN", 1, "FEB", 2, "MAR", 3, "APR", 4,"MAY", 5, "JUN",6, "JUL", 7, "AUG", 8, "SEP", 9, "OCT", 10, "NOV", 11, "DEC", 12, "NO")</f>
        <v>5</v>
      </c>
      <c r="E308">
        <v>2026</v>
      </c>
      <c r="F308" t="s">
        <v>852</v>
      </c>
      <c r="G308">
        <f t="shared" si="14"/>
        <v>12</v>
      </c>
      <c r="H308">
        <v>57</v>
      </c>
      <c r="I308" t="s">
        <v>12</v>
      </c>
      <c r="J308">
        <v>25</v>
      </c>
      <c r="K308" t="s">
        <v>853</v>
      </c>
      <c r="L308" t="s">
        <v>854</v>
      </c>
      <c r="M308" t="str">
        <f t="shared" si="13"/>
        <v>Wednesday</v>
      </c>
    </row>
    <row r="309" spans="1:13" x14ac:dyDescent="0.3">
      <c r="A309" s="4">
        <f t="shared" si="12"/>
        <v>46155</v>
      </c>
      <c r="B309">
        <v>13</v>
      </c>
      <c r="C309" t="s">
        <v>207</v>
      </c>
      <c r="D309" cm="1">
        <f t="array" ref="D309">_xlfn.SWITCH(C309, "JAN", 1, "FEB", 2, "MAR", 3, "APR", 4,"MAY", 5, "JUN",6, "JUL", 7, "AUG", 8, "SEP", 9, "OCT", 10, "NOV", 11, "DEC", 12, "NO")</f>
        <v>5</v>
      </c>
      <c r="E309">
        <v>2026</v>
      </c>
      <c r="F309" t="s">
        <v>855</v>
      </c>
      <c r="G309">
        <f t="shared" si="14"/>
        <v>12</v>
      </c>
      <c r="H309">
        <v>56</v>
      </c>
      <c r="I309" t="s">
        <v>12</v>
      </c>
      <c r="J309">
        <v>965</v>
      </c>
      <c r="K309" t="s">
        <v>856</v>
      </c>
      <c r="L309" t="s">
        <v>857</v>
      </c>
      <c r="M309" t="str">
        <f t="shared" si="13"/>
        <v>Wednesday</v>
      </c>
    </row>
    <row r="310" spans="1:13" x14ac:dyDescent="0.3">
      <c r="A310" s="4">
        <f t="shared" si="12"/>
        <v>46155</v>
      </c>
      <c r="B310">
        <v>13</v>
      </c>
      <c r="C310" t="s">
        <v>207</v>
      </c>
      <c r="D310" cm="1">
        <f t="array" ref="D310">_xlfn.SWITCH(C310, "JAN", 1, "FEB", 2, "MAR", 3, "APR", 4,"MAY", 5, "JUN",6, "JUL", 7, "AUG", 8, "SEP", 9, "OCT", 10, "NOV", 11, "DEC", 12, "NO")</f>
        <v>5</v>
      </c>
      <c r="E310">
        <v>2026</v>
      </c>
      <c r="F310" t="s">
        <v>858</v>
      </c>
      <c r="G310">
        <f t="shared" si="14"/>
        <v>12</v>
      </c>
      <c r="H310">
        <v>38</v>
      </c>
      <c r="I310" t="s">
        <v>12</v>
      </c>
      <c r="J310">
        <v>1000</v>
      </c>
      <c r="K310" t="s">
        <v>859</v>
      </c>
      <c r="L310" t="s">
        <v>860</v>
      </c>
      <c r="M310" t="str">
        <f t="shared" si="13"/>
        <v>Wednesday</v>
      </c>
    </row>
    <row r="311" spans="1:13" x14ac:dyDescent="0.3">
      <c r="A311" s="4">
        <f t="shared" si="12"/>
        <v>46155</v>
      </c>
      <c r="B311">
        <v>13</v>
      </c>
      <c r="C311" t="s">
        <v>207</v>
      </c>
      <c r="D311" cm="1">
        <f t="array" ref="D311">_xlfn.SWITCH(C311, "JAN", 1, "FEB", 2, "MAR", 3, "APR", 4,"MAY", 5, "JUN",6, "JUL", 7, "AUG", 8, "SEP", 9, "OCT", 10, "NOV", 11, "DEC", 12, "NO")</f>
        <v>5</v>
      </c>
      <c r="E311">
        <v>2026</v>
      </c>
      <c r="F311" t="s">
        <v>861</v>
      </c>
      <c r="G311">
        <f t="shared" si="14"/>
        <v>12</v>
      </c>
      <c r="H311">
        <v>34</v>
      </c>
      <c r="I311" t="s">
        <v>12</v>
      </c>
      <c r="J311">
        <v>1000</v>
      </c>
      <c r="K311" t="s">
        <v>862</v>
      </c>
      <c r="L311" t="s">
        <v>863</v>
      </c>
      <c r="M311" t="str">
        <f t="shared" si="13"/>
        <v>Wednesday</v>
      </c>
    </row>
    <row r="312" spans="1:13" x14ac:dyDescent="0.3">
      <c r="A312" s="4">
        <f t="shared" si="12"/>
        <v>46155</v>
      </c>
      <c r="B312">
        <v>13</v>
      </c>
      <c r="C312" t="s">
        <v>207</v>
      </c>
      <c r="D312" cm="1">
        <f t="array" ref="D312">_xlfn.SWITCH(C312, "JAN", 1, "FEB", 2, "MAR", 3, "APR", 4,"MAY", 5, "JUN",6, "JUL", 7, "AUG", 8, "SEP", 9, "OCT", 10, "NOV", 11, "DEC", 12, "NO")</f>
        <v>5</v>
      </c>
      <c r="E312">
        <v>2026</v>
      </c>
      <c r="F312" t="s">
        <v>198</v>
      </c>
      <c r="G312">
        <f t="shared" si="14"/>
        <v>12</v>
      </c>
      <c r="H312">
        <v>33</v>
      </c>
      <c r="I312" t="s">
        <v>12</v>
      </c>
      <c r="J312">
        <v>1000</v>
      </c>
      <c r="K312" t="s">
        <v>864</v>
      </c>
      <c r="L312" t="s">
        <v>865</v>
      </c>
      <c r="M312" t="str">
        <f t="shared" si="13"/>
        <v>Wednesday</v>
      </c>
    </row>
    <row r="313" spans="1:13" x14ac:dyDescent="0.3">
      <c r="A313" s="4">
        <f t="shared" si="12"/>
        <v>46155</v>
      </c>
      <c r="B313">
        <v>13</v>
      </c>
      <c r="C313" t="s">
        <v>207</v>
      </c>
      <c r="D313" cm="1">
        <f t="array" ref="D313">_xlfn.SWITCH(C313, "JAN", 1, "FEB", 2, "MAR", 3, "APR", 4,"MAY", 5, "JUN",6, "JUL", 7, "AUG", 8, "SEP", 9, "OCT", 10, "NOV", 11, "DEC", 12, "NO")</f>
        <v>5</v>
      </c>
      <c r="E313">
        <v>2026</v>
      </c>
      <c r="F313" t="s">
        <v>15</v>
      </c>
      <c r="G313">
        <f t="shared" si="14"/>
        <v>12</v>
      </c>
      <c r="H313">
        <v>15</v>
      </c>
      <c r="I313" t="s">
        <v>12</v>
      </c>
      <c r="J313">
        <v>1000</v>
      </c>
      <c r="K313" t="s">
        <v>866</v>
      </c>
      <c r="L313" t="s">
        <v>867</v>
      </c>
      <c r="M313" t="str">
        <f t="shared" si="13"/>
        <v>Wednesday</v>
      </c>
    </row>
    <row r="314" spans="1:13" x14ac:dyDescent="0.3">
      <c r="A314" s="4">
        <f t="shared" si="12"/>
        <v>46155</v>
      </c>
      <c r="B314">
        <v>13</v>
      </c>
      <c r="C314" t="s">
        <v>207</v>
      </c>
      <c r="D314" cm="1">
        <f t="array" ref="D314">_xlfn.SWITCH(C314, "JAN", 1, "FEB", 2, "MAR", 3, "APR", 4,"MAY", 5, "JUN",6, "JUL", 7, "AUG", 8, "SEP", 9, "OCT", 10, "NOV", 11, "DEC", 12, "NO")</f>
        <v>5</v>
      </c>
      <c r="E314">
        <v>2026</v>
      </c>
      <c r="F314" t="s">
        <v>868</v>
      </c>
      <c r="G314">
        <f t="shared" si="14"/>
        <v>12</v>
      </c>
      <c r="H314">
        <v>10</v>
      </c>
      <c r="I314" t="s">
        <v>12</v>
      </c>
      <c r="J314">
        <v>1000</v>
      </c>
      <c r="K314" t="s">
        <v>869</v>
      </c>
      <c r="L314" t="s">
        <v>870</v>
      </c>
      <c r="M314" t="str">
        <f t="shared" si="13"/>
        <v>Wednesday</v>
      </c>
    </row>
    <row r="315" spans="1:13" x14ac:dyDescent="0.3">
      <c r="A315" s="4">
        <f t="shared" si="12"/>
        <v>46155</v>
      </c>
      <c r="B315">
        <v>13</v>
      </c>
      <c r="C315" t="s">
        <v>207</v>
      </c>
      <c r="D315" cm="1">
        <f t="array" ref="D315">_xlfn.SWITCH(C315, "JAN", 1, "FEB", 2, "MAR", 3, "APR", 4,"MAY", 5, "JUN",6, "JUL", 7, "AUG", 8, "SEP", 9, "OCT", 10, "NOV", 11, "DEC", 12, "NO")</f>
        <v>5</v>
      </c>
      <c r="E315">
        <v>2026</v>
      </c>
      <c r="F315" t="s">
        <v>871</v>
      </c>
      <c r="G315">
        <f t="shared" si="14"/>
        <v>11</v>
      </c>
      <c r="H315">
        <v>47</v>
      </c>
      <c r="I315" t="s">
        <v>12</v>
      </c>
      <c r="J315">
        <v>1000</v>
      </c>
      <c r="K315" t="s">
        <v>872</v>
      </c>
      <c r="L315" t="s">
        <v>873</v>
      </c>
      <c r="M315" t="str">
        <f t="shared" si="13"/>
        <v>Wednesday</v>
      </c>
    </row>
    <row r="316" spans="1:13" x14ac:dyDescent="0.3">
      <c r="A316" s="4">
        <f t="shared" si="12"/>
        <v>46155</v>
      </c>
      <c r="B316">
        <v>13</v>
      </c>
      <c r="C316" t="s">
        <v>207</v>
      </c>
      <c r="D316" cm="1">
        <f t="array" ref="D316">_xlfn.SWITCH(C316, "JAN", 1, "FEB", 2, "MAR", 3, "APR", 4,"MAY", 5, "JUN",6, "JUL", 7, "AUG", 8, "SEP", 9, "OCT", 10, "NOV", 11, "DEC", 12, "NO")</f>
        <v>5</v>
      </c>
      <c r="E316">
        <v>2026</v>
      </c>
      <c r="F316" t="s">
        <v>874</v>
      </c>
      <c r="G316">
        <f t="shared" si="14"/>
        <v>11</v>
      </c>
      <c r="H316">
        <v>43</v>
      </c>
      <c r="I316" t="s">
        <v>12</v>
      </c>
      <c r="J316">
        <v>2500</v>
      </c>
      <c r="K316" t="s">
        <v>875</v>
      </c>
      <c r="L316" t="s">
        <v>876</v>
      </c>
      <c r="M316" t="str">
        <f t="shared" si="13"/>
        <v>Wednesday</v>
      </c>
    </row>
    <row r="317" spans="1:13" x14ac:dyDescent="0.3">
      <c r="A317" s="4">
        <f t="shared" si="12"/>
        <v>46155</v>
      </c>
      <c r="B317">
        <v>13</v>
      </c>
      <c r="C317" t="s">
        <v>207</v>
      </c>
      <c r="D317" cm="1">
        <f t="array" ref="D317">_xlfn.SWITCH(C317, "JAN", 1, "FEB", 2, "MAR", 3, "APR", 4,"MAY", 5, "JUN",6, "JUL", 7, "AUG", 8, "SEP", 9, "OCT", 10, "NOV", 11, "DEC", 12, "NO")</f>
        <v>5</v>
      </c>
      <c r="E317">
        <v>2026</v>
      </c>
      <c r="F317" t="s">
        <v>877</v>
      </c>
      <c r="G317">
        <f t="shared" si="14"/>
        <v>11</v>
      </c>
      <c r="H317">
        <v>25</v>
      </c>
      <c r="I317" t="s">
        <v>12</v>
      </c>
      <c r="J317">
        <v>1000</v>
      </c>
      <c r="K317" t="s">
        <v>878</v>
      </c>
      <c r="L317" t="s">
        <v>879</v>
      </c>
      <c r="M317" t="str">
        <f t="shared" si="13"/>
        <v>Wednesday</v>
      </c>
    </row>
    <row r="318" spans="1:13" x14ac:dyDescent="0.3">
      <c r="A318" s="4">
        <f t="shared" si="12"/>
        <v>46154</v>
      </c>
      <c r="B318">
        <v>12</v>
      </c>
      <c r="C318" t="s">
        <v>207</v>
      </c>
      <c r="D318" cm="1">
        <f t="array" ref="D318">_xlfn.SWITCH(C318, "JAN", 1, "FEB", 2, "MAR", 3, "APR", 4,"MAY", 5, "JUN",6, "JUL", 7, "AUG", 8, "SEP", 9, "OCT", 10, "NOV", 11, "DEC", 12, "NO")</f>
        <v>5</v>
      </c>
      <c r="E318">
        <v>2026</v>
      </c>
      <c r="F318" t="s">
        <v>621</v>
      </c>
      <c r="G318">
        <f t="shared" si="14"/>
        <v>19</v>
      </c>
      <c r="H318">
        <v>41</v>
      </c>
      <c r="I318" t="s">
        <v>84</v>
      </c>
      <c r="J318">
        <v>10615</v>
      </c>
      <c r="K318" t="s">
        <v>880</v>
      </c>
      <c r="L318" t="s">
        <v>881</v>
      </c>
      <c r="M318" t="str">
        <f t="shared" si="13"/>
        <v>Tuesday</v>
      </c>
    </row>
    <row r="319" spans="1:13" x14ac:dyDescent="0.3">
      <c r="A319" s="4">
        <f t="shared" si="12"/>
        <v>46154</v>
      </c>
      <c r="B319">
        <v>12</v>
      </c>
      <c r="C319" t="s">
        <v>207</v>
      </c>
      <c r="D319" cm="1">
        <f t="array" ref="D319">_xlfn.SWITCH(C319, "JAN", 1, "FEB", 2, "MAR", 3, "APR", 4,"MAY", 5, "JUN",6, "JUL", 7, "AUG", 8, "SEP", 9, "OCT", 10, "NOV", 11, "DEC", 12, "NO")</f>
        <v>5</v>
      </c>
      <c r="E319">
        <v>2026</v>
      </c>
      <c r="F319" t="s">
        <v>621</v>
      </c>
      <c r="G319">
        <f t="shared" si="14"/>
        <v>19</v>
      </c>
      <c r="H319">
        <v>41</v>
      </c>
      <c r="I319" t="s">
        <v>12</v>
      </c>
      <c r="J319">
        <v>540</v>
      </c>
      <c r="K319" t="s">
        <v>882</v>
      </c>
      <c r="L319" t="s">
        <v>883</v>
      </c>
      <c r="M319" t="str">
        <f t="shared" si="13"/>
        <v>Tuesday</v>
      </c>
    </row>
    <row r="320" spans="1:13" x14ac:dyDescent="0.3">
      <c r="A320" s="4">
        <f t="shared" si="12"/>
        <v>46154</v>
      </c>
      <c r="B320">
        <v>12</v>
      </c>
      <c r="C320" t="s">
        <v>207</v>
      </c>
      <c r="D320" cm="1">
        <f t="array" ref="D320">_xlfn.SWITCH(C320, "JAN", 1, "FEB", 2, "MAR", 3, "APR", 4,"MAY", 5, "JUN",6, "JUL", 7, "AUG", 8, "SEP", 9, "OCT", 10, "NOV", 11, "DEC", 12, "NO")</f>
        <v>5</v>
      </c>
      <c r="E320">
        <v>2026</v>
      </c>
      <c r="F320" t="s">
        <v>884</v>
      </c>
      <c r="G320">
        <f t="shared" si="14"/>
        <v>18</v>
      </c>
      <c r="H320">
        <v>55</v>
      </c>
      <c r="I320" t="s">
        <v>12</v>
      </c>
      <c r="J320">
        <v>1000</v>
      </c>
      <c r="K320" t="s">
        <v>885</v>
      </c>
      <c r="L320" t="s">
        <v>886</v>
      </c>
      <c r="M320" t="str">
        <f t="shared" si="13"/>
        <v>Tuesday</v>
      </c>
    </row>
    <row r="321" spans="1:13" x14ac:dyDescent="0.3">
      <c r="A321" s="4">
        <f t="shared" si="12"/>
        <v>46154</v>
      </c>
      <c r="B321">
        <v>12</v>
      </c>
      <c r="C321" t="s">
        <v>207</v>
      </c>
      <c r="D321" cm="1">
        <f t="array" ref="D321">_xlfn.SWITCH(C321, "JAN", 1, "FEB", 2, "MAR", 3, "APR", 4,"MAY", 5, "JUN",6, "JUL", 7, "AUG", 8, "SEP", 9, "OCT", 10, "NOV", 11, "DEC", 12, "NO")</f>
        <v>5</v>
      </c>
      <c r="E321">
        <v>2026</v>
      </c>
      <c r="F321" t="s">
        <v>390</v>
      </c>
      <c r="G321">
        <f t="shared" si="14"/>
        <v>18</v>
      </c>
      <c r="H321">
        <v>45</v>
      </c>
      <c r="I321" t="s">
        <v>12</v>
      </c>
      <c r="J321">
        <v>995</v>
      </c>
      <c r="K321" t="s">
        <v>887</v>
      </c>
      <c r="L321" t="s">
        <v>888</v>
      </c>
      <c r="M321" t="str">
        <f t="shared" si="13"/>
        <v>Tuesday</v>
      </c>
    </row>
    <row r="322" spans="1:13" x14ac:dyDescent="0.3">
      <c r="A322" s="4">
        <f t="shared" ref="A322:A385" si="15">DATE(E322, D322, B322)</f>
        <v>46154</v>
      </c>
      <c r="B322">
        <v>12</v>
      </c>
      <c r="C322" t="s">
        <v>207</v>
      </c>
      <c r="D322" cm="1">
        <f t="array" ref="D322">_xlfn.SWITCH(C322, "JAN", 1, "FEB", 2, "MAR", 3, "APR", 4,"MAY", 5, "JUN",6, "JUL", 7, "AUG", 8, "SEP", 9, "OCT", 10, "NOV", 11, "DEC", 12, "NO")</f>
        <v>5</v>
      </c>
      <c r="E322">
        <v>2026</v>
      </c>
      <c r="F322" t="s">
        <v>393</v>
      </c>
      <c r="G322">
        <f t="shared" si="14"/>
        <v>18</v>
      </c>
      <c r="H322">
        <v>37</v>
      </c>
      <c r="I322" t="s">
        <v>12</v>
      </c>
      <c r="J322">
        <v>1000</v>
      </c>
      <c r="K322" t="s">
        <v>889</v>
      </c>
      <c r="L322" t="s">
        <v>890</v>
      </c>
      <c r="M322" t="str">
        <f t="shared" ref="M322:M385" si="16">TEXT(A322, "DDDD")</f>
        <v>Tuesday</v>
      </c>
    </row>
    <row r="323" spans="1:13" x14ac:dyDescent="0.3">
      <c r="A323" s="4">
        <f t="shared" si="15"/>
        <v>46154</v>
      </c>
      <c r="B323">
        <v>12</v>
      </c>
      <c r="C323" t="s">
        <v>207</v>
      </c>
      <c r="D323" cm="1">
        <f t="array" ref="D323">_xlfn.SWITCH(C323, "JAN", 1, "FEB", 2, "MAR", 3, "APR", 4,"MAY", 5, "JUN",6, "JUL", 7, "AUG", 8, "SEP", 9, "OCT", 10, "NOV", 11, "DEC", 12, "NO")</f>
        <v>5</v>
      </c>
      <c r="E323">
        <v>2026</v>
      </c>
      <c r="F323" t="s">
        <v>891</v>
      </c>
      <c r="G323">
        <f t="shared" ref="G323:G386" si="17">HOUR(F323)</f>
        <v>18</v>
      </c>
      <c r="H323">
        <v>35</v>
      </c>
      <c r="I323" t="s">
        <v>12</v>
      </c>
      <c r="J323">
        <v>1000</v>
      </c>
      <c r="K323" t="s">
        <v>892</v>
      </c>
      <c r="L323" t="s">
        <v>893</v>
      </c>
      <c r="M323" t="str">
        <f t="shared" si="16"/>
        <v>Tuesday</v>
      </c>
    </row>
    <row r="324" spans="1:13" x14ac:dyDescent="0.3">
      <c r="A324" s="4">
        <f t="shared" si="15"/>
        <v>46154</v>
      </c>
      <c r="B324">
        <v>12</v>
      </c>
      <c r="C324" t="s">
        <v>207</v>
      </c>
      <c r="D324" cm="1">
        <f t="array" ref="D324">_xlfn.SWITCH(C324, "JAN", 1, "FEB", 2, "MAR", 3, "APR", 4,"MAY", 5, "JUN",6, "JUL", 7, "AUG", 8, "SEP", 9, "OCT", 10, "NOV", 11, "DEC", 12, "NO")</f>
        <v>5</v>
      </c>
      <c r="E324">
        <v>2026</v>
      </c>
      <c r="F324" t="s">
        <v>894</v>
      </c>
      <c r="G324">
        <f t="shared" si="17"/>
        <v>18</v>
      </c>
      <c r="H324">
        <v>17</v>
      </c>
      <c r="I324" t="s">
        <v>12</v>
      </c>
      <c r="J324">
        <v>50</v>
      </c>
      <c r="K324" t="s">
        <v>895</v>
      </c>
      <c r="L324" t="s">
        <v>896</v>
      </c>
      <c r="M324" t="str">
        <f t="shared" si="16"/>
        <v>Tuesday</v>
      </c>
    </row>
    <row r="325" spans="1:13" x14ac:dyDescent="0.3">
      <c r="A325" s="4">
        <f t="shared" si="15"/>
        <v>46154</v>
      </c>
      <c r="B325">
        <v>12</v>
      </c>
      <c r="C325" t="s">
        <v>207</v>
      </c>
      <c r="D325" cm="1">
        <f t="array" ref="D325">_xlfn.SWITCH(C325, "JAN", 1, "FEB", 2, "MAR", 3, "APR", 4,"MAY", 5, "JUN",6, "JUL", 7, "AUG", 8, "SEP", 9, "OCT", 10, "NOV", 11, "DEC", 12, "NO")</f>
        <v>5</v>
      </c>
      <c r="E325">
        <v>2026</v>
      </c>
      <c r="F325" t="s">
        <v>897</v>
      </c>
      <c r="G325">
        <f t="shared" si="17"/>
        <v>17</v>
      </c>
      <c r="H325">
        <v>19</v>
      </c>
      <c r="I325" t="s">
        <v>12</v>
      </c>
      <c r="J325">
        <v>1000</v>
      </c>
      <c r="K325" t="s">
        <v>898</v>
      </c>
      <c r="L325" t="s">
        <v>899</v>
      </c>
      <c r="M325" t="str">
        <f t="shared" si="16"/>
        <v>Tuesday</v>
      </c>
    </row>
    <row r="326" spans="1:13" x14ac:dyDescent="0.3">
      <c r="A326" s="4">
        <f t="shared" si="15"/>
        <v>46154</v>
      </c>
      <c r="B326">
        <v>12</v>
      </c>
      <c r="C326" t="s">
        <v>207</v>
      </c>
      <c r="D326" cm="1">
        <f t="array" ref="D326">_xlfn.SWITCH(C326, "JAN", 1, "FEB", 2, "MAR", 3, "APR", 4,"MAY", 5, "JUN",6, "JUL", 7, "AUG", 8, "SEP", 9, "OCT", 10, "NOV", 11, "DEC", 12, "NO")</f>
        <v>5</v>
      </c>
      <c r="E326">
        <v>2026</v>
      </c>
      <c r="F326" t="s">
        <v>345</v>
      </c>
      <c r="G326">
        <f t="shared" si="17"/>
        <v>16</v>
      </c>
      <c r="H326">
        <v>28</v>
      </c>
      <c r="I326" t="s">
        <v>84</v>
      </c>
      <c r="J326">
        <v>3000</v>
      </c>
      <c r="K326" t="s">
        <v>900</v>
      </c>
      <c r="L326" t="s">
        <v>901</v>
      </c>
      <c r="M326" t="str">
        <f t="shared" si="16"/>
        <v>Tuesday</v>
      </c>
    </row>
    <row r="327" spans="1:13" x14ac:dyDescent="0.3">
      <c r="A327" s="4">
        <f t="shared" si="15"/>
        <v>46154</v>
      </c>
      <c r="B327">
        <v>12</v>
      </c>
      <c r="C327" t="s">
        <v>207</v>
      </c>
      <c r="D327" cm="1">
        <f t="array" ref="D327">_xlfn.SWITCH(C327, "JAN", 1, "FEB", 2, "MAR", 3, "APR", 4,"MAY", 5, "JUN",6, "JUL", 7, "AUG", 8, "SEP", 9, "OCT", 10, "NOV", 11, "DEC", 12, "NO")</f>
        <v>5</v>
      </c>
      <c r="E327">
        <v>2026</v>
      </c>
      <c r="F327" t="s">
        <v>345</v>
      </c>
      <c r="G327">
        <f t="shared" si="17"/>
        <v>16</v>
      </c>
      <c r="H327">
        <v>28</v>
      </c>
      <c r="I327" t="s">
        <v>12</v>
      </c>
      <c r="J327">
        <v>1000</v>
      </c>
      <c r="K327" t="s">
        <v>902</v>
      </c>
      <c r="L327" t="s">
        <v>903</v>
      </c>
      <c r="M327" t="str">
        <f t="shared" si="16"/>
        <v>Tuesday</v>
      </c>
    </row>
    <row r="328" spans="1:13" x14ac:dyDescent="0.3">
      <c r="A328" s="4">
        <f t="shared" si="15"/>
        <v>46154</v>
      </c>
      <c r="B328">
        <v>12</v>
      </c>
      <c r="C328" t="s">
        <v>207</v>
      </c>
      <c r="D328" cm="1">
        <f t="array" ref="D328">_xlfn.SWITCH(C328, "JAN", 1, "FEB", 2, "MAR", 3, "APR", 4,"MAY", 5, "JUN",6, "JUL", 7, "AUG", 8, "SEP", 9, "OCT", 10, "NOV", 11, "DEC", 12, "NO")</f>
        <v>5</v>
      </c>
      <c r="E328">
        <v>2026</v>
      </c>
      <c r="F328" t="s">
        <v>126</v>
      </c>
      <c r="G328">
        <f t="shared" si="17"/>
        <v>15</v>
      </c>
      <c r="H328">
        <v>59</v>
      </c>
      <c r="I328" t="s">
        <v>12</v>
      </c>
      <c r="J328">
        <v>30</v>
      </c>
      <c r="K328" t="s">
        <v>904</v>
      </c>
      <c r="L328" t="s">
        <v>905</v>
      </c>
      <c r="M328" t="str">
        <f t="shared" si="16"/>
        <v>Tuesday</v>
      </c>
    </row>
    <row r="329" spans="1:13" x14ac:dyDescent="0.3">
      <c r="A329" s="4">
        <f t="shared" si="15"/>
        <v>46154</v>
      </c>
      <c r="B329">
        <v>12</v>
      </c>
      <c r="C329" t="s">
        <v>207</v>
      </c>
      <c r="D329" cm="1">
        <f t="array" ref="D329">_xlfn.SWITCH(C329, "JAN", 1, "FEB", 2, "MAR", 3, "APR", 4,"MAY", 5, "JUN",6, "JUL", 7, "AUG", 8, "SEP", 9, "OCT", 10, "NOV", 11, "DEC", 12, "NO")</f>
        <v>5</v>
      </c>
      <c r="E329">
        <v>2026</v>
      </c>
      <c r="F329" t="s">
        <v>248</v>
      </c>
      <c r="G329">
        <f t="shared" si="17"/>
        <v>15</v>
      </c>
      <c r="H329">
        <v>53</v>
      </c>
      <c r="I329" t="s">
        <v>12</v>
      </c>
      <c r="J329">
        <v>1000</v>
      </c>
      <c r="K329" t="s">
        <v>906</v>
      </c>
      <c r="L329" t="s">
        <v>907</v>
      </c>
      <c r="M329" t="str">
        <f t="shared" si="16"/>
        <v>Tuesday</v>
      </c>
    </row>
    <row r="330" spans="1:13" x14ac:dyDescent="0.3">
      <c r="A330" s="4">
        <f t="shared" si="15"/>
        <v>46154</v>
      </c>
      <c r="B330">
        <v>12</v>
      </c>
      <c r="C330" t="s">
        <v>207</v>
      </c>
      <c r="D330" cm="1">
        <f t="array" ref="D330">_xlfn.SWITCH(C330, "JAN", 1, "FEB", 2, "MAR", 3, "APR", 4,"MAY", 5, "JUN",6, "JUL", 7, "AUG", 8, "SEP", 9, "OCT", 10, "NOV", 11, "DEC", 12, "NO")</f>
        <v>5</v>
      </c>
      <c r="E330">
        <v>2026</v>
      </c>
      <c r="F330" t="s">
        <v>908</v>
      </c>
      <c r="G330">
        <f t="shared" si="17"/>
        <v>15</v>
      </c>
      <c r="H330">
        <v>46</v>
      </c>
      <c r="I330" t="s">
        <v>12</v>
      </c>
      <c r="J330">
        <v>1000</v>
      </c>
      <c r="K330" t="s">
        <v>909</v>
      </c>
      <c r="L330" t="s">
        <v>910</v>
      </c>
      <c r="M330" t="str">
        <f t="shared" si="16"/>
        <v>Tuesday</v>
      </c>
    </row>
    <row r="331" spans="1:13" x14ac:dyDescent="0.3">
      <c r="A331" s="4">
        <f t="shared" si="15"/>
        <v>46154</v>
      </c>
      <c r="B331">
        <v>12</v>
      </c>
      <c r="C331" t="s">
        <v>207</v>
      </c>
      <c r="D331" cm="1">
        <f t="array" ref="D331">_xlfn.SWITCH(C331, "JAN", 1, "FEB", 2, "MAR", 3, "APR", 4,"MAY", 5, "JUN",6, "JUL", 7, "AUG", 8, "SEP", 9, "OCT", 10, "NOV", 11, "DEC", 12, "NO")</f>
        <v>5</v>
      </c>
      <c r="E331">
        <v>2026</v>
      </c>
      <c r="F331" t="s">
        <v>911</v>
      </c>
      <c r="G331">
        <f t="shared" si="17"/>
        <v>15</v>
      </c>
      <c r="H331">
        <v>32</v>
      </c>
      <c r="I331" t="s">
        <v>12</v>
      </c>
      <c r="J331">
        <v>1000</v>
      </c>
      <c r="K331" t="s">
        <v>912</v>
      </c>
      <c r="L331" t="s">
        <v>913</v>
      </c>
      <c r="M331" t="str">
        <f t="shared" si="16"/>
        <v>Tuesday</v>
      </c>
    </row>
    <row r="332" spans="1:13" x14ac:dyDescent="0.3">
      <c r="A332" s="4">
        <f t="shared" si="15"/>
        <v>46154</v>
      </c>
      <c r="B332">
        <v>12</v>
      </c>
      <c r="C332" t="s">
        <v>207</v>
      </c>
      <c r="D332" cm="1">
        <f t="array" ref="D332">_xlfn.SWITCH(C332, "JAN", 1, "FEB", 2, "MAR", 3, "APR", 4,"MAY", 5, "JUN",6, "JUL", 7, "AUG", 8, "SEP", 9, "OCT", 10, "NOV", 11, "DEC", 12, "NO")</f>
        <v>5</v>
      </c>
      <c r="E332">
        <v>2026</v>
      </c>
      <c r="F332" t="s">
        <v>914</v>
      </c>
      <c r="G332">
        <f t="shared" si="17"/>
        <v>14</v>
      </c>
      <c r="H332">
        <v>19</v>
      </c>
      <c r="I332" t="s">
        <v>12</v>
      </c>
      <c r="J332">
        <v>1000</v>
      </c>
      <c r="K332" t="s">
        <v>915</v>
      </c>
      <c r="L332" t="s">
        <v>916</v>
      </c>
      <c r="M332" t="str">
        <f t="shared" si="16"/>
        <v>Tuesday</v>
      </c>
    </row>
    <row r="333" spans="1:13" x14ac:dyDescent="0.3">
      <c r="A333" s="4">
        <f t="shared" si="15"/>
        <v>46154</v>
      </c>
      <c r="B333">
        <v>12</v>
      </c>
      <c r="C333" t="s">
        <v>207</v>
      </c>
      <c r="D333" cm="1">
        <f t="array" ref="D333">_xlfn.SWITCH(C333, "JAN", 1, "FEB", 2, "MAR", 3, "APR", 4,"MAY", 5, "JUN",6, "JUL", 7, "AUG", 8, "SEP", 9, "OCT", 10, "NOV", 11, "DEC", 12, "NO")</f>
        <v>5</v>
      </c>
      <c r="E333">
        <v>2026</v>
      </c>
      <c r="F333" t="s">
        <v>917</v>
      </c>
      <c r="G333">
        <f t="shared" si="17"/>
        <v>14</v>
      </c>
      <c r="H333">
        <v>6</v>
      </c>
      <c r="I333" t="s">
        <v>12</v>
      </c>
      <c r="J333">
        <v>1000</v>
      </c>
      <c r="K333" t="s">
        <v>918</v>
      </c>
      <c r="L333" t="s">
        <v>919</v>
      </c>
      <c r="M333" t="str">
        <f t="shared" si="16"/>
        <v>Tuesday</v>
      </c>
    </row>
    <row r="334" spans="1:13" x14ac:dyDescent="0.3">
      <c r="A334" s="4">
        <f t="shared" si="15"/>
        <v>46154</v>
      </c>
      <c r="B334">
        <v>12</v>
      </c>
      <c r="C334" t="s">
        <v>207</v>
      </c>
      <c r="D334" cm="1">
        <f t="array" ref="D334">_xlfn.SWITCH(C334, "JAN", 1, "FEB", 2, "MAR", 3, "APR", 4,"MAY", 5, "JUN",6, "JUL", 7, "AUG", 8, "SEP", 9, "OCT", 10, "NOV", 11, "DEC", 12, "NO")</f>
        <v>5</v>
      </c>
      <c r="E334">
        <v>2026</v>
      </c>
      <c r="F334" t="s">
        <v>920</v>
      </c>
      <c r="G334">
        <f t="shared" si="17"/>
        <v>13</v>
      </c>
      <c r="H334">
        <v>39</v>
      </c>
      <c r="I334" t="s">
        <v>12</v>
      </c>
      <c r="J334">
        <v>1000</v>
      </c>
      <c r="K334" t="s">
        <v>921</v>
      </c>
      <c r="L334" t="s">
        <v>922</v>
      </c>
      <c r="M334" t="str">
        <f t="shared" si="16"/>
        <v>Tuesday</v>
      </c>
    </row>
    <row r="335" spans="1:13" x14ac:dyDescent="0.3">
      <c r="A335" s="4">
        <f t="shared" si="15"/>
        <v>46154</v>
      </c>
      <c r="B335">
        <v>12</v>
      </c>
      <c r="C335" t="s">
        <v>207</v>
      </c>
      <c r="D335" cm="1">
        <f t="array" ref="D335">_xlfn.SWITCH(C335, "JAN", 1, "FEB", 2, "MAR", 3, "APR", 4,"MAY", 5, "JUN",6, "JUL", 7, "AUG", 8, "SEP", 9, "OCT", 10, "NOV", 11, "DEC", 12, "NO")</f>
        <v>5</v>
      </c>
      <c r="E335">
        <v>2026</v>
      </c>
      <c r="F335" t="s">
        <v>923</v>
      </c>
      <c r="G335">
        <f t="shared" si="17"/>
        <v>13</v>
      </c>
      <c r="H335">
        <v>35</v>
      </c>
      <c r="I335" t="s">
        <v>12</v>
      </c>
      <c r="J335">
        <v>1000</v>
      </c>
      <c r="K335" t="s">
        <v>924</v>
      </c>
      <c r="L335" t="s">
        <v>925</v>
      </c>
      <c r="M335" t="str">
        <f t="shared" si="16"/>
        <v>Tuesday</v>
      </c>
    </row>
    <row r="336" spans="1:13" x14ac:dyDescent="0.3">
      <c r="A336" s="4">
        <f t="shared" si="15"/>
        <v>46153</v>
      </c>
      <c r="B336">
        <v>11</v>
      </c>
      <c r="C336" t="s">
        <v>207</v>
      </c>
      <c r="D336" cm="1">
        <f t="array" ref="D336">_xlfn.SWITCH(C336, "JAN", 1, "FEB", 2, "MAR", 3, "APR", 4,"MAY", 5, "JUN",6, "JUL", 7, "AUG", 8, "SEP", 9, "OCT", 10, "NOV", 11, "DEC", 12, "NO")</f>
        <v>5</v>
      </c>
      <c r="E336">
        <v>2026</v>
      </c>
      <c r="F336" t="s">
        <v>373</v>
      </c>
      <c r="G336">
        <f t="shared" si="17"/>
        <v>20</v>
      </c>
      <c r="H336">
        <v>18</v>
      </c>
      <c r="I336" t="s">
        <v>84</v>
      </c>
      <c r="J336">
        <v>12545</v>
      </c>
      <c r="K336" t="s">
        <v>926</v>
      </c>
      <c r="L336" t="s">
        <v>927</v>
      </c>
      <c r="M336" t="str">
        <f t="shared" si="16"/>
        <v>Monday</v>
      </c>
    </row>
    <row r="337" spans="1:13" x14ac:dyDescent="0.3">
      <c r="A337" s="4">
        <f t="shared" si="15"/>
        <v>46153</v>
      </c>
      <c r="B337">
        <v>11</v>
      </c>
      <c r="C337" t="s">
        <v>207</v>
      </c>
      <c r="D337" cm="1">
        <f t="array" ref="D337">_xlfn.SWITCH(C337, "JAN", 1, "FEB", 2, "MAR", 3, "APR", 4,"MAY", 5, "JUN",6, "JUL", 7, "AUG", 8, "SEP", 9, "OCT", 10, "NOV", 11, "DEC", 12, "NO")</f>
        <v>5</v>
      </c>
      <c r="E337">
        <v>2026</v>
      </c>
      <c r="F337" t="s">
        <v>928</v>
      </c>
      <c r="G337">
        <f t="shared" si="17"/>
        <v>20</v>
      </c>
      <c r="H337">
        <v>17</v>
      </c>
      <c r="I337" t="s">
        <v>12</v>
      </c>
      <c r="J337">
        <v>545</v>
      </c>
      <c r="K337" t="s">
        <v>929</v>
      </c>
      <c r="L337" t="s">
        <v>930</v>
      </c>
      <c r="M337" t="str">
        <f t="shared" si="16"/>
        <v>Monday</v>
      </c>
    </row>
    <row r="338" spans="1:13" x14ac:dyDescent="0.3">
      <c r="A338" s="4">
        <f t="shared" si="15"/>
        <v>46153</v>
      </c>
      <c r="B338">
        <v>11</v>
      </c>
      <c r="C338" t="s">
        <v>207</v>
      </c>
      <c r="D338" cm="1">
        <f t="array" ref="D338">_xlfn.SWITCH(C338, "JAN", 1, "FEB", 2, "MAR", 3, "APR", 4,"MAY", 5, "JUN",6, "JUL", 7, "AUG", 8, "SEP", 9, "OCT", 10, "NOV", 11, "DEC", 12, "NO")</f>
        <v>5</v>
      </c>
      <c r="E338">
        <v>2026</v>
      </c>
      <c r="F338" t="s">
        <v>931</v>
      </c>
      <c r="G338">
        <f t="shared" si="17"/>
        <v>19</v>
      </c>
      <c r="H338">
        <v>46</v>
      </c>
      <c r="I338" t="s">
        <v>12</v>
      </c>
      <c r="J338">
        <v>1000</v>
      </c>
      <c r="K338" t="s">
        <v>932</v>
      </c>
      <c r="L338" t="s">
        <v>933</v>
      </c>
      <c r="M338" t="str">
        <f t="shared" si="16"/>
        <v>Monday</v>
      </c>
    </row>
    <row r="339" spans="1:13" x14ac:dyDescent="0.3">
      <c r="A339" s="4">
        <f t="shared" si="15"/>
        <v>46153</v>
      </c>
      <c r="B339">
        <v>11</v>
      </c>
      <c r="C339" t="s">
        <v>207</v>
      </c>
      <c r="D339" cm="1">
        <f t="array" ref="D339">_xlfn.SWITCH(C339, "JAN", 1, "FEB", 2, "MAR", 3, "APR", 4,"MAY", 5, "JUN",6, "JUL", 7, "AUG", 8, "SEP", 9, "OCT", 10, "NOV", 11, "DEC", 12, "NO")</f>
        <v>5</v>
      </c>
      <c r="E339">
        <v>2026</v>
      </c>
      <c r="F339" t="s">
        <v>444</v>
      </c>
      <c r="G339">
        <f t="shared" si="17"/>
        <v>19</v>
      </c>
      <c r="H339">
        <v>13</v>
      </c>
      <c r="I339" t="s">
        <v>12</v>
      </c>
      <c r="J339">
        <v>1000</v>
      </c>
      <c r="K339" t="s">
        <v>934</v>
      </c>
      <c r="L339" t="s">
        <v>935</v>
      </c>
      <c r="M339" t="str">
        <f t="shared" si="16"/>
        <v>Monday</v>
      </c>
    </row>
    <row r="340" spans="1:13" x14ac:dyDescent="0.3">
      <c r="A340" s="4">
        <f t="shared" si="15"/>
        <v>46153</v>
      </c>
      <c r="B340">
        <v>11</v>
      </c>
      <c r="C340" t="s">
        <v>207</v>
      </c>
      <c r="D340" cm="1">
        <f t="array" ref="D340">_xlfn.SWITCH(C340, "JAN", 1, "FEB", 2, "MAR", 3, "APR", 4,"MAY", 5, "JUN",6, "JUL", 7, "AUG", 8, "SEP", 9, "OCT", 10, "NOV", 11, "DEC", 12, "NO")</f>
        <v>5</v>
      </c>
      <c r="E340">
        <v>2026</v>
      </c>
      <c r="F340" t="s">
        <v>936</v>
      </c>
      <c r="G340">
        <f t="shared" si="17"/>
        <v>18</v>
      </c>
      <c r="H340">
        <v>51</v>
      </c>
      <c r="I340" t="s">
        <v>12</v>
      </c>
      <c r="J340">
        <v>1000</v>
      </c>
      <c r="K340" t="s">
        <v>937</v>
      </c>
      <c r="L340" t="s">
        <v>938</v>
      </c>
      <c r="M340" t="str">
        <f t="shared" si="16"/>
        <v>Monday</v>
      </c>
    </row>
    <row r="341" spans="1:13" x14ac:dyDescent="0.3">
      <c r="A341" s="4">
        <f t="shared" si="15"/>
        <v>46153</v>
      </c>
      <c r="B341">
        <v>11</v>
      </c>
      <c r="C341" t="s">
        <v>207</v>
      </c>
      <c r="D341" cm="1">
        <f t="array" ref="D341">_xlfn.SWITCH(C341, "JAN", 1, "FEB", 2, "MAR", 3, "APR", 4,"MAY", 5, "JUN",6, "JUL", 7, "AUG", 8, "SEP", 9, "OCT", 10, "NOV", 11, "DEC", 12, "NO")</f>
        <v>5</v>
      </c>
      <c r="E341">
        <v>2026</v>
      </c>
      <c r="F341" t="s">
        <v>393</v>
      </c>
      <c r="G341">
        <f t="shared" si="17"/>
        <v>18</v>
      </c>
      <c r="H341">
        <v>37</v>
      </c>
      <c r="I341" t="s">
        <v>12</v>
      </c>
      <c r="J341">
        <v>1000</v>
      </c>
      <c r="K341" t="s">
        <v>939</v>
      </c>
      <c r="L341" t="s">
        <v>940</v>
      </c>
      <c r="M341" t="str">
        <f t="shared" si="16"/>
        <v>Monday</v>
      </c>
    </row>
    <row r="342" spans="1:13" x14ac:dyDescent="0.3">
      <c r="A342" s="4">
        <f t="shared" si="15"/>
        <v>46153</v>
      </c>
      <c r="B342">
        <v>11</v>
      </c>
      <c r="C342" t="s">
        <v>207</v>
      </c>
      <c r="D342" cm="1">
        <f t="array" ref="D342">_xlfn.SWITCH(C342, "JAN", 1, "FEB", 2, "MAR", 3, "APR", 4,"MAY", 5, "JUN",6, "JUL", 7, "AUG", 8, "SEP", 9, "OCT", 10, "NOV", 11, "DEC", 12, "NO")</f>
        <v>5</v>
      </c>
      <c r="E342">
        <v>2026</v>
      </c>
      <c r="F342" t="s">
        <v>941</v>
      </c>
      <c r="G342">
        <f t="shared" si="17"/>
        <v>18</v>
      </c>
      <c r="H342">
        <v>34</v>
      </c>
      <c r="I342" t="s">
        <v>12</v>
      </c>
      <c r="J342">
        <v>500</v>
      </c>
      <c r="K342" t="s">
        <v>942</v>
      </c>
      <c r="L342" t="s">
        <v>943</v>
      </c>
      <c r="M342" t="str">
        <f t="shared" si="16"/>
        <v>Monday</v>
      </c>
    </row>
    <row r="343" spans="1:13" x14ac:dyDescent="0.3">
      <c r="A343" s="4">
        <f t="shared" si="15"/>
        <v>46153</v>
      </c>
      <c r="B343">
        <v>11</v>
      </c>
      <c r="C343" t="s">
        <v>207</v>
      </c>
      <c r="D343" cm="1">
        <f t="array" ref="D343">_xlfn.SWITCH(C343, "JAN", 1, "FEB", 2, "MAR", 3, "APR", 4,"MAY", 5, "JUN",6, "JUL", 7, "AUG", 8, "SEP", 9, "OCT", 10, "NOV", 11, "DEC", 12, "NO")</f>
        <v>5</v>
      </c>
      <c r="E343">
        <v>2026</v>
      </c>
      <c r="F343" t="s">
        <v>447</v>
      </c>
      <c r="G343">
        <f t="shared" si="17"/>
        <v>18</v>
      </c>
      <c r="H343">
        <v>28</v>
      </c>
      <c r="I343" t="s">
        <v>12</v>
      </c>
      <c r="J343">
        <v>2000</v>
      </c>
      <c r="K343" t="s">
        <v>944</v>
      </c>
      <c r="L343" t="s">
        <v>945</v>
      </c>
      <c r="M343" t="str">
        <f t="shared" si="16"/>
        <v>Monday</v>
      </c>
    </row>
    <row r="344" spans="1:13" x14ac:dyDescent="0.3">
      <c r="A344" s="4">
        <f t="shared" si="15"/>
        <v>46153</v>
      </c>
      <c r="B344">
        <v>11</v>
      </c>
      <c r="C344" t="s">
        <v>207</v>
      </c>
      <c r="D344" cm="1">
        <f t="array" ref="D344">_xlfn.SWITCH(C344, "JAN", 1, "FEB", 2, "MAR", 3, "APR", 4,"MAY", 5, "JUN",6, "JUL", 7, "AUG", 8, "SEP", 9, "OCT", 10, "NOV", 11, "DEC", 12, "NO")</f>
        <v>5</v>
      </c>
      <c r="E344">
        <v>2026</v>
      </c>
      <c r="F344" t="s">
        <v>946</v>
      </c>
      <c r="G344">
        <f t="shared" si="17"/>
        <v>18</v>
      </c>
      <c r="H344">
        <v>18</v>
      </c>
      <c r="I344" t="s">
        <v>12</v>
      </c>
      <c r="J344">
        <v>1000</v>
      </c>
      <c r="K344" t="s">
        <v>947</v>
      </c>
      <c r="L344" t="s">
        <v>948</v>
      </c>
      <c r="M344" t="str">
        <f t="shared" si="16"/>
        <v>Monday</v>
      </c>
    </row>
    <row r="345" spans="1:13" x14ac:dyDescent="0.3">
      <c r="A345" s="4">
        <f t="shared" si="15"/>
        <v>46153</v>
      </c>
      <c r="B345">
        <v>11</v>
      </c>
      <c r="C345" t="s">
        <v>207</v>
      </c>
      <c r="D345" cm="1">
        <f t="array" ref="D345">_xlfn.SWITCH(C345, "JAN", 1, "FEB", 2, "MAR", 3, "APR", 4,"MAY", 5, "JUN",6, "JUL", 7, "AUG", 8, "SEP", 9, "OCT", 10, "NOV", 11, "DEC", 12, "NO")</f>
        <v>5</v>
      </c>
      <c r="E345">
        <v>2026</v>
      </c>
      <c r="F345" t="s">
        <v>634</v>
      </c>
      <c r="G345">
        <f t="shared" si="17"/>
        <v>18</v>
      </c>
      <c r="H345">
        <v>7</v>
      </c>
      <c r="I345" t="s">
        <v>12</v>
      </c>
      <c r="J345">
        <v>10</v>
      </c>
      <c r="K345" t="s">
        <v>949</v>
      </c>
      <c r="L345" t="s">
        <v>950</v>
      </c>
      <c r="M345" t="str">
        <f t="shared" si="16"/>
        <v>Monday</v>
      </c>
    </row>
    <row r="346" spans="1:13" x14ac:dyDescent="0.3">
      <c r="A346" s="4">
        <f t="shared" si="15"/>
        <v>46153</v>
      </c>
      <c r="B346">
        <v>11</v>
      </c>
      <c r="C346" t="s">
        <v>207</v>
      </c>
      <c r="D346" cm="1">
        <f t="array" ref="D346">_xlfn.SWITCH(C346, "JAN", 1, "FEB", 2, "MAR", 3, "APR", 4,"MAY", 5, "JUN",6, "JUL", 7, "AUG", 8, "SEP", 9, "OCT", 10, "NOV", 11, "DEC", 12, "NO")</f>
        <v>5</v>
      </c>
      <c r="E346">
        <v>2026</v>
      </c>
      <c r="F346" t="s">
        <v>728</v>
      </c>
      <c r="G346">
        <f t="shared" si="17"/>
        <v>18</v>
      </c>
      <c r="H346">
        <v>1</v>
      </c>
      <c r="I346" t="s">
        <v>12</v>
      </c>
      <c r="J346">
        <v>1010</v>
      </c>
      <c r="K346" t="s">
        <v>951</v>
      </c>
      <c r="L346" t="s">
        <v>952</v>
      </c>
      <c r="M346" t="str">
        <f t="shared" si="16"/>
        <v>Monday</v>
      </c>
    </row>
    <row r="347" spans="1:13" x14ac:dyDescent="0.3">
      <c r="A347" s="4">
        <f t="shared" si="15"/>
        <v>46153</v>
      </c>
      <c r="B347">
        <v>11</v>
      </c>
      <c r="C347" t="s">
        <v>207</v>
      </c>
      <c r="D347" cm="1">
        <f t="array" ref="D347">_xlfn.SWITCH(C347, "JAN", 1, "FEB", 2, "MAR", 3, "APR", 4,"MAY", 5, "JUN",6, "JUL", 7, "AUG", 8, "SEP", 9, "OCT", 10, "NOV", 11, "DEC", 12, "NO")</f>
        <v>5</v>
      </c>
      <c r="E347">
        <v>2026</v>
      </c>
      <c r="F347" t="s">
        <v>274</v>
      </c>
      <c r="G347">
        <f t="shared" si="17"/>
        <v>17</v>
      </c>
      <c r="H347">
        <v>56</v>
      </c>
      <c r="I347" t="s">
        <v>12</v>
      </c>
      <c r="J347">
        <v>2500</v>
      </c>
      <c r="K347" t="s">
        <v>953</v>
      </c>
      <c r="L347" t="s">
        <v>954</v>
      </c>
      <c r="M347" t="str">
        <f t="shared" si="16"/>
        <v>Monday</v>
      </c>
    </row>
    <row r="348" spans="1:13" x14ac:dyDescent="0.3">
      <c r="A348" s="4">
        <f t="shared" si="15"/>
        <v>46153</v>
      </c>
      <c r="B348">
        <v>11</v>
      </c>
      <c r="C348" t="s">
        <v>207</v>
      </c>
      <c r="D348" cm="1">
        <f t="array" ref="D348">_xlfn.SWITCH(C348, "JAN", 1, "FEB", 2, "MAR", 3, "APR", 4,"MAY", 5, "JUN",6, "JUL", 7, "AUG", 8, "SEP", 9, "OCT", 10, "NOV", 11, "DEC", 12, "NO")</f>
        <v>5</v>
      </c>
      <c r="E348">
        <v>2026</v>
      </c>
      <c r="F348" t="s">
        <v>320</v>
      </c>
      <c r="G348">
        <f t="shared" si="17"/>
        <v>17</v>
      </c>
      <c r="H348">
        <v>42</v>
      </c>
      <c r="I348" t="s">
        <v>12</v>
      </c>
      <c r="J348">
        <v>1000</v>
      </c>
      <c r="K348" t="s">
        <v>955</v>
      </c>
      <c r="L348" t="s">
        <v>956</v>
      </c>
      <c r="M348" t="str">
        <f t="shared" si="16"/>
        <v>Monday</v>
      </c>
    </row>
    <row r="349" spans="1:13" x14ac:dyDescent="0.3">
      <c r="A349" s="4">
        <f t="shared" si="15"/>
        <v>46152</v>
      </c>
      <c r="B349">
        <v>10</v>
      </c>
      <c r="C349" t="s">
        <v>207</v>
      </c>
      <c r="D349" cm="1">
        <f t="array" ref="D349">_xlfn.SWITCH(C349, "JAN", 1, "FEB", 2, "MAR", 3, "APR", 4,"MAY", 5, "JUN",6, "JUL", 7, "AUG", 8, "SEP", 9, "OCT", 10, "NOV", 11, "DEC", 12, "NO")</f>
        <v>5</v>
      </c>
      <c r="E349">
        <v>2026</v>
      </c>
      <c r="F349" t="s">
        <v>894</v>
      </c>
      <c r="G349">
        <f t="shared" si="17"/>
        <v>18</v>
      </c>
      <c r="H349">
        <v>17</v>
      </c>
      <c r="I349" t="s">
        <v>84</v>
      </c>
      <c r="J349">
        <v>4825</v>
      </c>
      <c r="K349" t="s">
        <v>957</v>
      </c>
      <c r="L349" t="s">
        <v>958</v>
      </c>
      <c r="M349" t="str">
        <f t="shared" si="16"/>
        <v>Sunday</v>
      </c>
    </row>
    <row r="350" spans="1:13" x14ac:dyDescent="0.3">
      <c r="A350" s="4">
        <f t="shared" si="15"/>
        <v>46152</v>
      </c>
      <c r="B350">
        <v>10</v>
      </c>
      <c r="C350" t="s">
        <v>207</v>
      </c>
      <c r="D350" cm="1">
        <f t="array" ref="D350">_xlfn.SWITCH(C350, "JAN", 1, "FEB", 2, "MAR", 3, "APR", 4,"MAY", 5, "JUN",6, "JUL", 7, "AUG", 8, "SEP", 9, "OCT", 10, "NOV", 11, "DEC", 12, "NO")</f>
        <v>5</v>
      </c>
      <c r="E350">
        <v>2026</v>
      </c>
      <c r="F350" t="s">
        <v>315</v>
      </c>
      <c r="G350">
        <f t="shared" si="17"/>
        <v>18</v>
      </c>
      <c r="H350">
        <v>10</v>
      </c>
      <c r="I350" t="s">
        <v>12</v>
      </c>
      <c r="J350">
        <v>360</v>
      </c>
      <c r="K350" t="s">
        <v>959</v>
      </c>
      <c r="L350" t="s">
        <v>960</v>
      </c>
      <c r="M350" t="str">
        <f t="shared" si="16"/>
        <v>Sunday</v>
      </c>
    </row>
    <row r="351" spans="1:13" x14ac:dyDescent="0.3">
      <c r="A351" s="4">
        <f t="shared" si="15"/>
        <v>46152</v>
      </c>
      <c r="B351">
        <v>10</v>
      </c>
      <c r="C351" t="s">
        <v>207</v>
      </c>
      <c r="D351" cm="1">
        <f t="array" ref="D351">_xlfn.SWITCH(C351, "JAN", 1, "FEB", 2, "MAR", 3, "APR", 4,"MAY", 5, "JUN",6, "JUL", 7, "AUG", 8, "SEP", 9, "OCT", 10, "NOV", 11, "DEC", 12, "NO")</f>
        <v>5</v>
      </c>
      <c r="E351">
        <v>2026</v>
      </c>
      <c r="F351" t="s">
        <v>593</v>
      </c>
      <c r="G351">
        <f t="shared" si="17"/>
        <v>15</v>
      </c>
      <c r="H351">
        <v>1</v>
      </c>
      <c r="I351" t="s">
        <v>12</v>
      </c>
      <c r="J351">
        <v>965</v>
      </c>
      <c r="K351" t="s">
        <v>961</v>
      </c>
      <c r="L351" t="s">
        <v>962</v>
      </c>
      <c r="M351" t="str">
        <f t="shared" si="16"/>
        <v>Sunday</v>
      </c>
    </row>
    <row r="352" spans="1:13" x14ac:dyDescent="0.3">
      <c r="A352" s="4">
        <f t="shared" si="15"/>
        <v>46152</v>
      </c>
      <c r="B352">
        <v>10</v>
      </c>
      <c r="C352" t="s">
        <v>207</v>
      </c>
      <c r="D352" cm="1">
        <f t="array" ref="D352">_xlfn.SWITCH(C352, "JAN", 1, "FEB", 2, "MAR", 3, "APR", 4,"MAY", 5, "JUN",6, "JUL", 7, "AUG", 8, "SEP", 9, "OCT", 10, "NOV", 11, "DEC", 12, "NO")</f>
        <v>5</v>
      </c>
      <c r="E352">
        <v>2026</v>
      </c>
      <c r="F352" t="s">
        <v>963</v>
      </c>
      <c r="G352">
        <f t="shared" si="17"/>
        <v>14</v>
      </c>
      <c r="H352">
        <v>28</v>
      </c>
      <c r="I352" t="s">
        <v>12</v>
      </c>
      <c r="J352">
        <v>1000</v>
      </c>
      <c r="K352" t="s">
        <v>964</v>
      </c>
      <c r="L352" t="s">
        <v>965</v>
      </c>
      <c r="M352" t="str">
        <f t="shared" si="16"/>
        <v>Sunday</v>
      </c>
    </row>
    <row r="353" spans="1:13" x14ac:dyDescent="0.3">
      <c r="A353" s="4">
        <f t="shared" si="15"/>
        <v>46152</v>
      </c>
      <c r="B353">
        <v>10</v>
      </c>
      <c r="C353" t="s">
        <v>207</v>
      </c>
      <c r="D353" cm="1">
        <f t="array" ref="D353">_xlfn.SWITCH(C353, "JAN", 1, "FEB", 2, "MAR", 3, "APR", 4,"MAY", 5, "JUN",6, "JUL", 7, "AUG", 8, "SEP", 9, "OCT", 10, "NOV", 11, "DEC", 12, "NO")</f>
        <v>5</v>
      </c>
      <c r="E353">
        <v>2026</v>
      </c>
      <c r="F353" t="s">
        <v>966</v>
      </c>
      <c r="G353">
        <f t="shared" si="17"/>
        <v>14</v>
      </c>
      <c r="H353">
        <v>24</v>
      </c>
      <c r="I353" t="s">
        <v>12</v>
      </c>
      <c r="J353">
        <v>2500</v>
      </c>
      <c r="K353" t="s">
        <v>967</v>
      </c>
      <c r="L353" t="s">
        <v>968</v>
      </c>
      <c r="M353" t="str">
        <f t="shared" si="16"/>
        <v>Sunday</v>
      </c>
    </row>
    <row r="354" spans="1:13" x14ac:dyDescent="0.3">
      <c r="A354" s="4">
        <f t="shared" si="15"/>
        <v>46151</v>
      </c>
      <c r="B354">
        <v>9</v>
      </c>
      <c r="C354" t="s">
        <v>207</v>
      </c>
      <c r="D354" cm="1">
        <f t="array" ref="D354">_xlfn.SWITCH(C354, "JAN", 1, "FEB", 2, "MAR", 3, "APR", 4,"MAY", 5, "JUN",6, "JUL", 7, "AUG", 8, "SEP", 9, "OCT", 10, "NOV", 11, "DEC", 12, "NO")</f>
        <v>5</v>
      </c>
      <c r="E354">
        <v>2026</v>
      </c>
      <c r="F354" t="s">
        <v>969</v>
      </c>
      <c r="G354">
        <f t="shared" si="17"/>
        <v>19</v>
      </c>
      <c r="H354">
        <v>1</v>
      </c>
      <c r="I354" t="s">
        <v>84</v>
      </c>
      <c r="J354">
        <v>19300</v>
      </c>
      <c r="K354" t="s">
        <v>970</v>
      </c>
      <c r="L354" t="s">
        <v>971</v>
      </c>
      <c r="M354" t="str">
        <f t="shared" si="16"/>
        <v>Saturday</v>
      </c>
    </row>
    <row r="355" spans="1:13" x14ac:dyDescent="0.3">
      <c r="A355" s="4">
        <f t="shared" si="15"/>
        <v>46151</v>
      </c>
      <c r="B355">
        <v>9</v>
      </c>
      <c r="C355" t="s">
        <v>207</v>
      </c>
      <c r="D355" cm="1">
        <f t="array" ref="D355">_xlfn.SWITCH(C355, "JAN", 1, "FEB", 2, "MAR", 3, "APR", 4,"MAY", 5, "JUN",6, "JUL", 7, "AUG", 8, "SEP", 9, "OCT", 10, "NOV", 11, "DEC", 12, "NO")</f>
        <v>5</v>
      </c>
      <c r="E355">
        <v>2026</v>
      </c>
      <c r="F355" t="s">
        <v>891</v>
      </c>
      <c r="G355">
        <f t="shared" si="17"/>
        <v>18</v>
      </c>
      <c r="H355">
        <v>35</v>
      </c>
      <c r="I355" t="s">
        <v>12</v>
      </c>
      <c r="J355">
        <v>1000</v>
      </c>
      <c r="K355" t="s">
        <v>972</v>
      </c>
      <c r="L355" t="s">
        <v>973</v>
      </c>
      <c r="M355" t="str">
        <f t="shared" si="16"/>
        <v>Saturday</v>
      </c>
    </row>
    <row r="356" spans="1:13" x14ac:dyDescent="0.3">
      <c r="A356" s="4">
        <f t="shared" si="15"/>
        <v>46151</v>
      </c>
      <c r="B356">
        <v>9</v>
      </c>
      <c r="C356" t="s">
        <v>207</v>
      </c>
      <c r="D356" cm="1">
        <f t="array" ref="D356">_xlfn.SWITCH(C356, "JAN", 1, "FEB", 2, "MAR", 3, "APR", 4,"MAY", 5, "JUN",6, "JUL", 7, "AUG", 8, "SEP", 9, "OCT", 10, "NOV", 11, "DEC", 12, "NO")</f>
        <v>5</v>
      </c>
      <c r="E356">
        <v>2026</v>
      </c>
      <c r="F356" t="s">
        <v>974</v>
      </c>
      <c r="G356">
        <f t="shared" si="17"/>
        <v>18</v>
      </c>
      <c r="H356">
        <v>29</v>
      </c>
      <c r="I356" t="s">
        <v>12</v>
      </c>
      <c r="J356">
        <v>1000</v>
      </c>
      <c r="K356" t="s">
        <v>975</v>
      </c>
      <c r="L356" t="s">
        <v>976</v>
      </c>
      <c r="M356" t="str">
        <f t="shared" si="16"/>
        <v>Saturday</v>
      </c>
    </row>
    <row r="357" spans="1:13" x14ac:dyDescent="0.3">
      <c r="A357" s="4">
        <f t="shared" si="15"/>
        <v>46151</v>
      </c>
      <c r="B357">
        <v>9</v>
      </c>
      <c r="C357" t="s">
        <v>207</v>
      </c>
      <c r="D357" cm="1">
        <f t="array" ref="D357">_xlfn.SWITCH(C357, "JAN", 1, "FEB", 2, "MAR", 3, "APR", 4,"MAY", 5, "JUN",6, "JUL", 7, "AUG", 8, "SEP", 9, "OCT", 10, "NOV", 11, "DEC", 12, "NO")</f>
        <v>5</v>
      </c>
      <c r="E357">
        <v>2026</v>
      </c>
      <c r="F357" t="s">
        <v>977</v>
      </c>
      <c r="G357">
        <f t="shared" si="17"/>
        <v>18</v>
      </c>
      <c r="H357">
        <v>20</v>
      </c>
      <c r="I357" t="s">
        <v>12</v>
      </c>
      <c r="J357">
        <v>1000</v>
      </c>
      <c r="K357" t="s">
        <v>978</v>
      </c>
      <c r="L357" t="s">
        <v>979</v>
      </c>
      <c r="M357" t="str">
        <f t="shared" si="16"/>
        <v>Saturday</v>
      </c>
    </row>
    <row r="358" spans="1:13" x14ac:dyDescent="0.3">
      <c r="A358" s="4">
        <f t="shared" si="15"/>
        <v>46151</v>
      </c>
      <c r="B358">
        <v>9</v>
      </c>
      <c r="C358" t="s">
        <v>207</v>
      </c>
      <c r="D358" cm="1">
        <f t="array" ref="D358">_xlfn.SWITCH(C358, "JAN", 1, "FEB", 2, "MAR", 3, "APR", 4,"MAY", 5, "JUN",6, "JUL", 7, "AUG", 8, "SEP", 9, "OCT", 10, "NOV", 11, "DEC", 12, "NO")</f>
        <v>5</v>
      </c>
      <c r="E358">
        <v>2026</v>
      </c>
      <c r="F358" t="s">
        <v>176</v>
      </c>
      <c r="G358">
        <f t="shared" si="17"/>
        <v>18</v>
      </c>
      <c r="H358">
        <v>14</v>
      </c>
      <c r="I358" t="s">
        <v>12</v>
      </c>
      <c r="J358">
        <v>1000</v>
      </c>
      <c r="K358" t="s">
        <v>980</v>
      </c>
      <c r="L358" t="s">
        <v>981</v>
      </c>
      <c r="M358" t="str">
        <f t="shared" si="16"/>
        <v>Saturday</v>
      </c>
    </row>
    <row r="359" spans="1:13" x14ac:dyDescent="0.3">
      <c r="A359" s="4">
        <f t="shared" si="15"/>
        <v>46151</v>
      </c>
      <c r="B359">
        <v>9</v>
      </c>
      <c r="C359" t="s">
        <v>207</v>
      </c>
      <c r="D359" cm="1">
        <f t="array" ref="D359">_xlfn.SWITCH(C359, "JAN", 1, "FEB", 2, "MAR", 3, "APR", 4,"MAY", 5, "JUN",6, "JUL", 7, "AUG", 8, "SEP", 9, "OCT", 10, "NOV", 11, "DEC", 12, "NO")</f>
        <v>5</v>
      </c>
      <c r="E359">
        <v>2026</v>
      </c>
      <c r="F359" t="s">
        <v>676</v>
      </c>
      <c r="G359">
        <f t="shared" si="17"/>
        <v>17</v>
      </c>
      <c r="H359">
        <v>36</v>
      </c>
      <c r="I359" t="s">
        <v>12</v>
      </c>
      <c r="J359">
        <v>1000</v>
      </c>
      <c r="K359" t="s">
        <v>982</v>
      </c>
      <c r="L359" t="s">
        <v>983</v>
      </c>
      <c r="M359" t="str">
        <f t="shared" si="16"/>
        <v>Saturday</v>
      </c>
    </row>
    <row r="360" spans="1:13" x14ac:dyDescent="0.3">
      <c r="A360" s="4">
        <f t="shared" si="15"/>
        <v>46151</v>
      </c>
      <c r="B360">
        <v>9</v>
      </c>
      <c r="C360" t="s">
        <v>207</v>
      </c>
      <c r="D360" cm="1">
        <f t="array" ref="D360">_xlfn.SWITCH(C360, "JAN", 1, "FEB", 2, "MAR", 3, "APR", 4,"MAY", 5, "JUN",6, "JUL", 7, "AUG", 8, "SEP", 9, "OCT", 10, "NOV", 11, "DEC", 12, "NO")</f>
        <v>5</v>
      </c>
      <c r="E360">
        <v>2026</v>
      </c>
      <c r="F360" t="s">
        <v>984</v>
      </c>
      <c r="G360">
        <f t="shared" si="17"/>
        <v>17</v>
      </c>
      <c r="H360">
        <v>32</v>
      </c>
      <c r="I360" t="s">
        <v>12</v>
      </c>
      <c r="J360">
        <v>1000</v>
      </c>
      <c r="K360" t="s">
        <v>985</v>
      </c>
      <c r="L360" t="s">
        <v>986</v>
      </c>
      <c r="M360" t="str">
        <f t="shared" si="16"/>
        <v>Saturday</v>
      </c>
    </row>
    <row r="361" spans="1:13" x14ac:dyDescent="0.3">
      <c r="A361" s="4">
        <f t="shared" si="15"/>
        <v>46151</v>
      </c>
      <c r="B361">
        <v>9</v>
      </c>
      <c r="C361" t="s">
        <v>207</v>
      </c>
      <c r="D361" cm="1">
        <f t="array" ref="D361">_xlfn.SWITCH(C361, "JAN", 1, "FEB", 2, "MAR", 3, "APR", 4,"MAY", 5, "JUN",6, "JUL", 7, "AUG", 8, "SEP", 9, "OCT", 10, "NOV", 11, "DEC", 12, "NO")</f>
        <v>5</v>
      </c>
      <c r="E361">
        <v>2026</v>
      </c>
      <c r="F361" t="s">
        <v>682</v>
      </c>
      <c r="G361">
        <f t="shared" si="17"/>
        <v>17</v>
      </c>
      <c r="H361">
        <v>23</v>
      </c>
      <c r="I361" t="s">
        <v>12</v>
      </c>
      <c r="J361">
        <v>3500</v>
      </c>
      <c r="K361" t="s">
        <v>987</v>
      </c>
      <c r="L361" t="s">
        <v>988</v>
      </c>
      <c r="M361" t="str">
        <f t="shared" si="16"/>
        <v>Saturday</v>
      </c>
    </row>
    <row r="362" spans="1:13" x14ac:dyDescent="0.3">
      <c r="A362" s="4">
        <f t="shared" si="15"/>
        <v>46151</v>
      </c>
      <c r="B362">
        <v>9</v>
      </c>
      <c r="C362" t="s">
        <v>207</v>
      </c>
      <c r="D362" cm="1">
        <f t="array" ref="D362">_xlfn.SWITCH(C362, "JAN", 1, "FEB", 2, "MAR", 3, "APR", 4,"MAY", 5, "JUN",6, "JUL", 7, "AUG", 8, "SEP", 9, "OCT", 10, "NOV", 11, "DEC", 12, "NO")</f>
        <v>5</v>
      </c>
      <c r="E362">
        <v>2026</v>
      </c>
      <c r="F362" t="s">
        <v>989</v>
      </c>
      <c r="G362">
        <f t="shared" si="17"/>
        <v>17</v>
      </c>
      <c r="H362">
        <v>18</v>
      </c>
      <c r="I362" t="s">
        <v>12</v>
      </c>
      <c r="J362">
        <v>1000</v>
      </c>
      <c r="K362" t="s">
        <v>990</v>
      </c>
      <c r="L362" t="s">
        <v>991</v>
      </c>
      <c r="M362" t="str">
        <f t="shared" si="16"/>
        <v>Saturday</v>
      </c>
    </row>
    <row r="363" spans="1:13" x14ac:dyDescent="0.3">
      <c r="A363" s="4">
        <f t="shared" si="15"/>
        <v>46151</v>
      </c>
      <c r="B363">
        <v>9</v>
      </c>
      <c r="C363" t="s">
        <v>207</v>
      </c>
      <c r="D363" cm="1">
        <f t="array" ref="D363">_xlfn.SWITCH(C363, "JAN", 1, "FEB", 2, "MAR", 3, "APR", 4,"MAY", 5, "JUN",6, "JUL", 7, "AUG", 8, "SEP", 9, "OCT", 10, "NOV", 11, "DEC", 12, "NO")</f>
        <v>5</v>
      </c>
      <c r="E363">
        <v>2026</v>
      </c>
      <c r="F363" t="s">
        <v>992</v>
      </c>
      <c r="G363">
        <f t="shared" si="17"/>
        <v>17</v>
      </c>
      <c r="H363">
        <v>11</v>
      </c>
      <c r="I363" t="s">
        <v>12</v>
      </c>
      <c r="J363">
        <v>1000</v>
      </c>
      <c r="K363" t="s">
        <v>993</v>
      </c>
      <c r="L363" t="s">
        <v>994</v>
      </c>
      <c r="M363" t="str">
        <f t="shared" si="16"/>
        <v>Saturday</v>
      </c>
    </row>
    <row r="364" spans="1:13" x14ac:dyDescent="0.3">
      <c r="A364" s="4">
        <f t="shared" si="15"/>
        <v>46151</v>
      </c>
      <c r="B364">
        <v>9</v>
      </c>
      <c r="C364" t="s">
        <v>207</v>
      </c>
      <c r="D364" cm="1">
        <f t="array" ref="D364">_xlfn.SWITCH(C364, "JAN", 1, "FEB", 2, "MAR", 3, "APR", 4,"MAY", 5, "JUN",6, "JUL", 7, "AUG", 8, "SEP", 9, "OCT", 10, "NOV", 11, "DEC", 12, "NO")</f>
        <v>5</v>
      </c>
      <c r="E364">
        <v>2026</v>
      </c>
      <c r="F364" t="s">
        <v>995</v>
      </c>
      <c r="G364">
        <f t="shared" si="17"/>
        <v>17</v>
      </c>
      <c r="H364">
        <v>2</v>
      </c>
      <c r="I364" t="s">
        <v>12</v>
      </c>
      <c r="J364">
        <v>1000</v>
      </c>
      <c r="K364" t="s">
        <v>996</v>
      </c>
      <c r="L364" t="s">
        <v>997</v>
      </c>
      <c r="M364" t="str">
        <f t="shared" si="16"/>
        <v>Saturday</v>
      </c>
    </row>
    <row r="365" spans="1:13" x14ac:dyDescent="0.3">
      <c r="A365" s="4">
        <f t="shared" si="15"/>
        <v>46151</v>
      </c>
      <c r="B365">
        <v>9</v>
      </c>
      <c r="C365" t="s">
        <v>207</v>
      </c>
      <c r="D365" cm="1">
        <f t="array" ref="D365">_xlfn.SWITCH(C365, "JAN", 1, "FEB", 2, "MAR", 3, "APR", 4,"MAY", 5, "JUN",6, "JUL", 7, "AUG", 8, "SEP", 9, "OCT", 10, "NOV", 11, "DEC", 12, "NO")</f>
        <v>5</v>
      </c>
      <c r="E365">
        <v>2026</v>
      </c>
      <c r="F365" t="s">
        <v>650</v>
      </c>
      <c r="G365">
        <f t="shared" si="17"/>
        <v>17</v>
      </c>
      <c r="H365">
        <v>1</v>
      </c>
      <c r="I365" t="s">
        <v>12</v>
      </c>
      <c r="J365">
        <v>1000</v>
      </c>
      <c r="K365" t="s">
        <v>998</v>
      </c>
      <c r="L365" t="s">
        <v>999</v>
      </c>
      <c r="M365" t="str">
        <f t="shared" si="16"/>
        <v>Saturday</v>
      </c>
    </row>
    <row r="366" spans="1:13" x14ac:dyDescent="0.3">
      <c r="A366" s="4">
        <f t="shared" si="15"/>
        <v>46151</v>
      </c>
      <c r="B366">
        <v>9</v>
      </c>
      <c r="C366" t="s">
        <v>207</v>
      </c>
      <c r="D366" cm="1">
        <f t="array" ref="D366">_xlfn.SWITCH(C366, "JAN", 1, "FEB", 2, "MAR", 3, "APR", 4,"MAY", 5, "JUN",6, "JUL", 7, "AUG", 8, "SEP", 9, "OCT", 10, "NOV", 11, "DEC", 12, "NO")</f>
        <v>5</v>
      </c>
      <c r="E366">
        <v>2026</v>
      </c>
      <c r="F366" t="s">
        <v>1000</v>
      </c>
      <c r="G366">
        <f t="shared" si="17"/>
        <v>16</v>
      </c>
      <c r="H366">
        <v>53</v>
      </c>
      <c r="I366" t="s">
        <v>12</v>
      </c>
      <c r="J366">
        <v>1000</v>
      </c>
      <c r="K366" t="s">
        <v>1001</v>
      </c>
      <c r="L366" t="s">
        <v>1002</v>
      </c>
      <c r="M366" t="str">
        <f t="shared" si="16"/>
        <v>Saturday</v>
      </c>
    </row>
    <row r="367" spans="1:13" x14ac:dyDescent="0.3">
      <c r="A367" s="4">
        <f t="shared" si="15"/>
        <v>46151</v>
      </c>
      <c r="B367">
        <v>9</v>
      </c>
      <c r="C367" t="s">
        <v>207</v>
      </c>
      <c r="D367" cm="1">
        <f t="array" ref="D367">_xlfn.SWITCH(C367, "JAN", 1, "FEB", 2, "MAR", 3, "APR", 4,"MAY", 5, "JUN",6, "JUL", 7, "AUG", 8, "SEP", 9, "OCT", 10, "NOV", 11, "DEC", 12, "NO")</f>
        <v>5</v>
      </c>
      <c r="E367">
        <v>2026</v>
      </c>
      <c r="F367" t="s">
        <v>822</v>
      </c>
      <c r="G367">
        <f t="shared" si="17"/>
        <v>16</v>
      </c>
      <c r="H367">
        <v>33</v>
      </c>
      <c r="I367" t="s">
        <v>12</v>
      </c>
      <c r="J367">
        <v>30</v>
      </c>
      <c r="K367" t="s">
        <v>1003</v>
      </c>
      <c r="L367" t="s">
        <v>1004</v>
      </c>
      <c r="M367" t="str">
        <f t="shared" si="16"/>
        <v>Saturday</v>
      </c>
    </row>
    <row r="368" spans="1:13" x14ac:dyDescent="0.3">
      <c r="A368" s="4">
        <f t="shared" si="15"/>
        <v>46151</v>
      </c>
      <c r="B368">
        <v>9</v>
      </c>
      <c r="C368" t="s">
        <v>207</v>
      </c>
      <c r="D368" cm="1">
        <f t="array" ref="D368">_xlfn.SWITCH(C368, "JAN", 1, "FEB", 2, "MAR", 3, "APR", 4,"MAY", 5, "JUN",6, "JUL", 7, "AUG", 8, "SEP", 9, "OCT", 10, "NOV", 11, "DEC", 12, "NO")</f>
        <v>5</v>
      </c>
      <c r="E368">
        <v>2026</v>
      </c>
      <c r="F368" t="s">
        <v>345</v>
      </c>
      <c r="G368">
        <f t="shared" si="17"/>
        <v>16</v>
      </c>
      <c r="H368">
        <v>28</v>
      </c>
      <c r="I368" t="s">
        <v>12</v>
      </c>
      <c r="J368">
        <v>30</v>
      </c>
      <c r="K368" t="s">
        <v>1005</v>
      </c>
      <c r="L368" t="s">
        <v>1006</v>
      </c>
      <c r="M368" t="str">
        <f t="shared" si="16"/>
        <v>Saturday</v>
      </c>
    </row>
    <row r="369" spans="1:13" x14ac:dyDescent="0.3">
      <c r="A369" s="4">
        <f t="shared" si="15"/>
        <v>46151</v>
      </c>
      <c r="B369">
        <v>9</v>
      </c>
      <c r="C369" t="s">
        <v>207</v>
      </c>
      <c r="D369" cm="1">
        <f t="array" ref="D369">_xlfn.SWITCH(C369, "JAN", 1, "FEB", 2, "MAR", 3, "APR", 4,"MAY", 5, "JUN",6, "JUL", 7, "AUG", 8, "SEP", 9, "OCT", 10, "NOV", 11, "DEC", 12, "NO")</f>
        <v>5</v>
      </c>
      <c r="E369">
        <v>2026</v>
      </c>
      <c r="F369" t="s">
        <v>182</v>
      </c>
      <c r="G369">
        <f t="shared" si="17"/>
        <v>15</v>
      </c>
      <c r="H369">
        <v>52</v>
      </c>
      <c r="I369" t="s">
        <v>12</v>
      </c>
      <c r="J369">
        <v>720</v>
      </c>
      <c r="K369" t="s">
        <v>1007</v>
      </c>
      <c r="L369" t="s">
        <v>1008</v>
      </c>
      <c r="M369" t="str">
        <f t="shared" si="16"/>
        <v>Saturday</v>
      </c>
    </row>
    <row r="370" spans="1:13" x14ac:dyDescent="0.3">
      <c r="A370" s="4">
        <f t="shared" si="15"/>
        <v>46151</v>
      </c>
      <c r="B370">
        <v>9</v>
      </c>
      <c r="C370" t="s">
        <v>207</v>
      </c>
      <c r="D370" cm="1">
        <f t="array" ref="D370">_xlfn.SWITCH(C370, "JAN", 1, "FEB", 2, "MAR", 3, "APR", 4,"MAY", 5, "JUN",6, "JUL", 7, "AUG", 8, "SEP", 9, "OCT", 10, "NOV", 11, "DEC", 12, "NO")</f>
        <v>5</v>
      </c>
      <c r="E370">
        <v>2026</v>
      </c>
      <c r="F370" t="s">
        <v>1009</v>
      </c>
      <c r="G370">
        <f t="shared" si="17"/>
        <v>15</v>
      </c>
      <c r="H370">
        <v>21</v>
      </c>
      <c r="I370" t="s">
        <v>12</v>
      </c>
      <c r="J370">
        <v>1000</v>
      </c>
      <c r="K370" t="s">
        <v>1010</v>
      </c>
      <c r="L370" t="s">
        <v>1011</v>
      </c>
      <c r="M370" t="str">
        <f t="shared" si="16"/>
        <v>Saturday</v>
      </c>
    </row>
    <row r="371" spans="1:13" x14ac:dyDescent="0.3">
      <c r="A371" s="4">
        <f t="shared" si="15"/>
        <v>46151</v>
      </c>
      <c r="B371">
        <v>9</v>
      </c>
      <c r="C371" t="s">
        <v>207</v>
      </c>
      <c r="D371" cm="1">
        <f t="array" ref="D371">_xlfn.SWITCH(C371, "JAN", 1, "FEB", 2, "MAR", 3, "APR", 4,"MAY", 5, "JUN",6, "JUL", 7, "AUG", 8, "SEP", 9, "OCT", 10, "NOV", 11, "DEC", 12, "NO")</f>
        <v>5</v>
      </c>
      <c r="E371">
        <v>2026</v>
      </c>
      <c r="F371" t="s">
        <v>1012</v>
      </c>
      <c r="G371">
        <f t="shared" si="17"/>
        <v>15</v>
      </c>
      <c r="H371">
        <v>15</v>
      </c>
      <c r="I371" t="s">
        <v>12</v>
      </c>
      <c r="J371">
        <v>1000</v>
      </c>
      <c r="K371" t="s">
        <v>1013</v>
      </c>
      <c r="L371" t="s">
        <v>1014</v>
      </c>
      <c r="M371" t="str">
        <f t="shared" si="16"/>
        <v>Saturday</v>
      </c>
    </row>
    <row r="372" spans="1:13" x14ac:dyDescent="0.3">
      <c r="A372" s="4">
        <f t="shared" si="15"/>
        <v>46151</v>
      </c>
      <c r="B372">
        <v>9</v>
      </c>
      <c r="C372" t="s">
        <v>207</v>
      </c>
      <c r="D372" cm="1">
        <f t="array" ref="D372">_xlfn.SWITCH(C372, "JAN", 1, "FEB", 2, "MAR", 3, "APR", 4,"MAY", 5, "JUN",6, "JUL", 7, "AUG", 8, "SEP", 9, "OCT", 10, "NOV", 11, "DEC", 12, "NO")</f>
        <v>5</v>
      </c>
      <c r="E372">
        <v>2026</v>
      </c>
      <c r="F372" t="s">
        <v>149</v>
      </c>
      <c r="G372">
        <f t="shared" si="17"/>
        <v>14</v>
      </c>
      <c r="H372">
        <v>52</v>
      </c>
      <c r="I372" t="s">
        <v>12</v>
      </c>
      <c r="J372">
        <v>30</v>
      </c>
      <c r="K372" t="s">
        <v>1015</v>
      </c>
      <c r="L372" t="s">
        <v>1016</v>
      </c>
      <c r="M372" t="str">
        <f t="shared" si="16"/>
        <v>Saturday</v>
      </c>
    </row>
    <row r="373" spans="1:13" x14ac:dyDescent="0.3">
      <c r="A373" s="4">
        <f t="shared" si="15"/>
        <v>46151</v>
      </c>
      <c r="B373">
        <v>9</v>
      </c>
      <c r="C373" t="s">
        <v>207</v>
      </c>
      <c r="D373" cm="1">
        <f t="array" ref="D373">_xlfn.SWITCH(C373, "JAN", 1, "FEB", 2, "MAR", 3, "APR", 4,"MAY", 5, "JUN",6, "JUL", 7, "AUG", 8, "SEP", 9, "OCT", 10, "NOV", 11, "DEC", 12, "NO")</f>
        <v>5</v>
      </c>
      <c r="E373">
        <v>2026</v>
      </c>
      <c r="F373" t="s">
        <v>1017</v>
      </c>
      <c r="G373">
        <f t="shared" si="17"/>
        <v>14</v>
      </c>
      <c r="H373">
        <v>45</v>
      </c>
      <c r="I373" t="s">
        <v>12</v>
      </c>
      <c r="J373">
        <v>1020</v>
      </c>
      <c r="K373" t="s">
        <v>1018</v>
      </c>
      <c r="L373" t="s">
        <v>1019</v>
      </c>
      <c r="M373" t="str">
        <f t="shared" si="16"/>
        <v>Saturday</v>
      </c>
    </row>
    <row r="374" spans="1:13" x14ac:dyDescent="0.3">
      <c r="A374" s="4">
        <f t="shared" si="15"/>
        <v>46151</v>
      </c>
      <c r="B374">
        <v>9</v>
      </c>
      <c r="C374" t="s">
        <v>207</v>
      </c>
      <c r="D374" cm="1">
        <f t="array" ref="D374">_xlfn.SWITCH(C374, "JAN", 1, "FEB", 2, "MAR", 3, "APR", 4,"MAY", 5, "JUN",6, "JUL", 7, "AUG", 8, "SEP", 9, "OCT", 10, "NOV", 11, "DEC", 12, "NO")</f>
        <v>5</v>
      </c>
      <c r="E374">
        <v>2026</v>
      </c>
      <c r="F374" t="s">
        <v>1020</v>
      </c>
      <c r="G374">
        <f t="shared" si="17"/>
        <v>14</v>
      </c>
      <c r="H374">
        <v>29</v>
      </c>
      <c r="I374" t="s">
        <v>12</v>
      </c>
      <c r="J374">
        <v>1000</v>
      </c>
      <c r="K374" t="s">
        <v>1021</v>
      </c>
      <c r="L374" t="s">
        <v>1022</v>
      </c>
      <c r="M374" t="str">
        <f t="shared" si="16"/>
        <v>Saturday</v>
      </c>
    </row>
    <row r="375" spans="1:13" x14ac:dyDescent="0.3">
      <c r="A375" s="4">
        <f t="shared" si="15"/>
        <v>46150</v>
      </c>
      <c r="B375">
        <v>8</v>
      </c>
      <c r="C375" t="s">
        <v>207</v>
      </c>
      <c r="D375" cm="1">
        <f t="array" ref="D375">_xlfn.SWITCH(C375, "JAN", 1, "FEB", 2, "MAR", 3, "APR", 4,"MAY", 5, "JUN",6, "JUL", 7, "AUG", 8, "SEP", 9, "OCT", 10, "NOV", 11, "DEC", 12, "NO")</f>
        <v>5</v>
      </c>
      <c r="E375">
        <v>2026</v>
      </c>
      <c r="F375" t="s">
        <v>507</v>
      </c>
      <c r="G375">
        <f t="shared" si="17"/>
        <v>13</v>
      </c>
      <c r="H375">
        <v>14</v>
      </c>
      <c r="I375" t="s">
        <v>84</v>
      </c>
      <c r="J375">
        <v>1500</v>
      </c>
      <c r="K375" t="s">
        <v>1023</v>
      </c>
      <c r="L375" t="s">
        <v>1024</v>
      </c>
      <c r="M375" t="str">
        <f t="shared" si="16"/>
        <v>Friday</v>
      </c>
    </row>
    <row r="376" spans="1:13" x14ac:dyDescent="0.3">
      <c r="A376" s="4">
        <f t="shared" si="15"/>
        <v>46150</v>
      </c>
      <c r="B376">
        <v>8</v>
      </c>
      <c r="C376" t="s">
        <v>207</v>
      </c>
      <c r="D376" cm="1">
        <f t="array" ref="D376">_xlfn.SWITCH(C376, "JAN", 1, "FEB", 2, "MAR", 3, "APR", 4,"MAY", 5, "JUN",6, "JUL", 7, "AUG", 8, "SEP", 9, "OCT", 10, "NOV", 11, "DEC", 12, "NO")</f>
        <v>5</v>
      </c>
      <c r="E376">
        <v>2026</v>
      </c>
      <c r="F376" t="s">
        <v>1025</v>
      </c>
      <c r="G376">
        <f t="shared" si="17"/>
        <v>13</v>
      </c>
      <c r="H376">
        <v>7</v>
      </c>
      <c r="I376" t="s">
        <v>84</v>
      </c>
      <c r="J376">
        <v>60</v>
      </c>
      <c r="K376" t="s">
        <v>1026</v>
      </c>
      <c r="L376" t="s">
        <v>1027</v>
      </c>
      <c r="M376" t="str">
        <f t="shared" si="16"/>
        <v>Friday</v>
      </c>
    </row>
    <row r="377" spans="1:13" x14ac:dyDescent="0.3">
      <c r="A377" s="4">
        <f t="shared" si="15"/>
        <v>46149</v>
      </c>
      <c r="B377">
        <v>7</v>
      </c>
      <c r="C377" t="s">
        <v>207</v>
      </c>
      <c r="D377" cm="1">
        <f t="array" ref="D377">_xlfn.SWITCH(C377, "JAN", 1, "FEB", 2, "MAR", 3, "APR", 4,"MAY", 5, "JUN",6, "JUL", 7, "AUG", 8, "SEP", 9, "OCT", 10, "NOV", 11, "DEC", 12, "NO")</f>
        <v>5</v>
      </c>
      <c r="E377">
        <v>2026</v>
      </c>
      <c r="F377" t="s">
        <v>444</v>
      </c>
      <c r="G377">
        <f t="shared" si="17"/>
        <v>19</v>
      </c>
      <c r="H377">
        <v>13</v>
      </c>
      <c r="I377" t="s">
        <v>12</v>
      </c>
      <c r="J377">
        <v>1500</v>
      </c>
      <c r="K377" t="s">
        <v>1028</v>
      </c>
      <c r="L377" t="s">
        <v>1029</v>
      </c>
      <c r="M377" t="str">
        <f t="shared" si="16"/>
        <v>Thursday</v>
      </c>
    </row>
    <row r="378" spans="1:13" x14ac:dyDescent="0.3">
      <c r="A378" s="4">
        <f t="shared" si="15"/>
        <v>46145</v>
      </c>
      <c r="B378">
        <v>3</v>
      </c>
      <c r="C378" t="s">
        <v>207</v>
      </c>
      <c r="D378" cm="1">
        <f t="array" ref="D378">_xlfn.SWITCH(C378, "JAN", 1, "FEB", 2, "MAR", 3, "APR", 4,"MAY", 5, "JUN",6, "JUL", 7, "AUG", 8, "SEP", 9, "OCT", 10, "NOV", 11, "DEC", 12, "NO")</f>
        <v>5</v>
      </c>
      <c r="E378">
        <v>2026</v>
      </c>
      <c r="F378" t="s">
        <v>1030</v>
      </c>
      <c r="G378">
        <f t="shared" si="17"/>
        <v>10</v>
      </c>
      <c r="H378">
        <v>26</v>
      </c>
      <c r="I378" t="s">
        <v>84</v>
      </c>
      <c r="J378">
        <v>3900</v>
      </c>
      <c r="K378" t="s">
        <v>1031</v>
      </c>
      <c r="L378" t="s">
        <v>1032</v>
      </c>
      <c r="M378" t="str">
        <f t="shared" si="16"/>
        <v>Sunday</v>
      </c>
    </row>
    <row r="379" spans="1:13" x14ac:dyDescent="0.3">
      <c r="A379" s="4">
        <f t="shared" si="15"/>
        <v>46142</v>
      </c>
      <c r="B379">
        <v>30</v>
      </c>
      <c r="C379" t="s">
        <v>1033</v>
      </c>
      <c r="D379" cm="1">
        <f t="array" ref="D379">_xlfn.SWITCH(C379, "JAN", 1, "FEB", 2, "MAR", 3, "APR", 4,"MAY", 5, "JUN",6, "JUL", 7, "AUG", 8, "SEP", 9, "OCT", 10, "NOV", 11, "DEC", 12, "NO")</f>
        <v>4</v>
      </c>
      <c r="E379">
        <v>2026</v>
      </c>
      <c r="F379" t="s">
        <v>1034</v>
      </c>
      <c r="G379">
        <f t="shared" si="17"/>
        <v>5</v>
      </c>
      <c r="H379">
        <v>50</v>
      </c>
      <c r="I379" t="s">
        <v>12</v>
      </c>
      <c r="J379">
        <v>800</v>
      </c>
      <c r="K379" t="s">
        <v>1035</v>
      </c>
      <c r="L379" t="s">
        <v>1036</v>
      </c>
      <c r="M379" t="str">
        <f t="shared" si="16"/>
        <v>Thursday</v>
      </c>
    </row>
    <row r="380" spans="1:13" x14ac:dyDescent="0.3">
      <c r="A380" s="4">
        <f t="shared" si="15"/>
        <v>46141</v>
      </c>
      <c r="B380">
        <v>29</v>
      </c>
      <c r="C380" t="s">
        <v>1033</v>
      </c>
      <c r="D380" cm="1">
        <f t="array" ref="D380">_xlfn.SWITCH(C380, "JAN", 1, "FEB", 2, "MAR", 3, "APR", 4,"MAY", 5, "JUN",6, "JUL", 7, "AUG", 8, "SEP", 9, "OCT", 10, "NOV", 11, "DEC", 12, "NO")</f>
        <v>4</v>
      </c>
      <c r="E380">
        <v>2026</v>
      </c>
      <c r="F380" t="s">
        <v>1037</v>
      </c>
      <c r="G380">
        <f t="shared" si="17"/>
        <v>19</v>
      </c>
      <c r="H380">
        <v>10</v>
      </c>
      <c r="I380" t="s">
        <v>12</v>
      </c>
      <c r="J380">
        <v>5400</v>
      </c>
      <c r="K380" t="s">
        <v>1038</v>
      </c>
      <c r="L380" t="s">
        <v>1039</v>
      </c>
      <c r="M380" t="str">
        <f t="shared" si="16"/>
        <v>Wednesday</v>
      </c>
    </row>
    <row r="381" spans="1:13" x14ac:dyDescent="0.3">
      <c r="A381" s="4">
        <f t="shared" si="15"/>
        <v>46140</v>
      </c>
      <c r="B381">
        <v>28</v>
      </c>
      <c r="C381" t="s">
        <v>1033</v>
      </c>
      <c r="D381" cm="1">
        <f t="array" ref="D381">_xlfn.SWITCH(C381, "JAN", 1, "FEB", 2, "MAR", 3, "APR", 4,"MAY", 5, "JUN",6, "JUL", 7, "AUG", 8, "SEP", 9, "OCT", 10, "NOV", 11, "DEC", 12, "NO")</f>
        <v>4</v>
      </c>
      <c r="E381">
        <v>2026</v>
      </c>
      <c r="F381" t="s">
        <v>1040</v>
      </c>
      <c r="G381">
        <f t="shared" si="17"/>
        <v>21</v>
      </c>
      <c r="H381">
        <v>3</v>
      </c>
      <c r="I381" t="s">
        <v>84</v>
      </c>
      <c r="J381">
        <v>12545</v>
      </c>
      <c r="K381" t="s">
        <v>1041</v>
      </c>
      <c r="L381" t="s">
        <v>1042</v>
      </c>
      <c r="M381" t="str">
        <f t="shared" si="16"/>
        <v>Tuesday</v>
      </c>
    </row>
    <row r="382" spans="1:13" x14ac:dyDescent="0.3">
      <c r="A382" s="4">
        <f t="shared" si="15"/>
        <v>46140</v>
      </c>
      <c r="B382">
        <v>28</v>
      </c>
      <c r="C382" t="s">
        <v>1033</v>
      </c>
      <c r="D382" cm="1">
        <f t="array" ref="D382">_xlfn.SWITCH(C382, "JAN", 1, "FEB", 2, "MAR", 3, "APR", 4,"MAY", 5, "JUN",6, "JUL", 7, "AUG", 8, "SEP", 9, "OCT", 10, "NOV", 11, "DEC", 12, "NO")</f>
        <v>4</v>
      </c>
      <c r="E382">
        <v>2026</v>
      </c>
      <c r="F382" t="s">
        <v>1043</v>
      </c>
      <c r="G382">
        <f t="shared" si="17"/>
        <v>21</v>
      </c>
      <c r="H382">
        <v>2</v>
      </c>
      <c r="I382" t="s">
        <v>12</v>
      </c>
      <c r="J382">
        <v>645</v>
      </c>
      <c r="K382" t="s">
        <v>1044</v>
      </c>
      <c r="L382" t="s">
        <v>1045</v>
      </c>
      <c r="M382" t="str">
        <f t="shared" si="16"/>
        <v>Tuesday</v>
      </c>
    </row>
    <row r="383" spans="1:13" x14ac:dyDescent="0.3">
      <c r="A383" s="4">
        <f t="shared" si="15"/>
        <v>46140</v>
      </c>
      <c r="B383">
        <v>28</v>
      </c>
      <c r="C383" t="s">
        <v>1033</v>
      </c>
      <c r="D383" cm="1">
        <f t="array" ref="D383">_xlfn.SWITCH(C383, "JAN", 1, "FEB", 2, "MAR", 3, "APR", 4,"MAY", 5, "JUN",6, "JUL", 7, "AUG", 8, "SEP", 9, "OCT", 10, "NOV", 11, "DEC", 12, "NO")</f>
        <v>4</v>
      </c>
      <c r="E383">
        <v>2026</v>
      </c>
      <c r="F383" t="s">
        <v>1046</v>
      </c>
      <c r="G383">
        <f t="shared" si="17"/>
        <v>20</v>
      </c>
      <c r="H383">
        <v>26</v>
      </c>
      <c r="I383" t="s">
        <v>12</v>
      </c>
      <c r="J383">
        <v>2000</v>
      </c>
      <c r="K383" t="s">
        <v>1047</v>
      </c>
      <c r="L383" t="s">
        <v>1048</v>
      </c>
      <c r="M383" t="str">
        <f t="shared" si="16"/>
        <v>Tuesday</v>
      </c>
    </row>
    <row r="384" spans="1:13" x14ac:dyDescent="0.3">
      <c r="A384" s="4">
        <f t="shared" si="15"/>
        <v>46140</v>
      </c>
      <c r="B384">
        <v>28</v>
      </c>
      <c r="C384" t="s">
        <v>1033</v>
      </c>
      <c r="D384" cm="1">
        <f t="array" ref="D384">_xlfn.SWITCH(C384, "JAN", 1, "FEB", 2, "MAR", 3, "APR", 4,"MAY", 5, "JUN",6, "JUL", 7, "AUG", 8, "SEP", 9, "OCT", 10, "NOV", 11, "DEC", 12, "NO")</f>
        <v>4</v>
      </c>
      <c r="E384">
        <v>2026</v>
      </c>
      <c r="F384" t="s">
        <v>229</v>
      </c>
      <c r="G384">
        <f t="shared" si="17"/>
        <v>19</v>
      </c>
      <c r="H384">
        <v>48</v>
      </c>
      <c r="I384" t="s">
        <v>12</v>
      </c>
      <c r="J384">
        <v>3400</v>
      </c>
      <c r="K384" t="s">
        <v>1049</v>
      </c>
      <c r="L384" t="s">
        <v>1050</v>
      </c>
      <c r="M384" t="str">
        <f t="shared" si="16"/>
        <v>Tuesday</v>
      </c>
    </row>
    <row r="385" spans="1:13" x14ac:dyDescent="0.3">
      <c r="A385" s="4">
        <f t="shared" si="15"/>
        <v>46140</v>
      </c>
      <c r="B385">
        <v>28</v>
      </c>
      <c r="C385" t="s">
        <v>1033</v>
      </c>
      <c r="D385" cm="1">
        <f t="array" ref="D385">_xlfn.SWITCH(C385, "JAN", 1, "FEB", 2, "MAR", 3, "APR", 4,"MAY", 5, "JUN",6, "JUL", 7, "AUG", 8, "SEP", 9, "OCT", 10, "NOV", 11, "DEC", 12, "NO")</f>
        <v>4</v>
      </c>
      <c r="E385">
        <v>2026</v>
      </c>
      <c r="F385" t="s">
        <v>891</v>
      </c>
      <c r="G385">
        <f t="shared" si="17"/>
        <v>18</v>
      </c>
      <c r="H385">
        <v>35</v>
      </c>
      <c r="I385" t="s">
        <v>12</v>
      </c>
      <c r="J385">
        <v>2900</v>
      </c>
      <c r="K385" t="s">
        <v>1051</v>
      </c>
      <c r="L385" t="s">
        <v>1052</v>
      </c>
      <c r="M385" t="str">
        <f t="shared" si="16"/>
        <v>Tuesday</v>
      </c>
    </row>
    <row r="386" spans="1:13" x14ac:dyDescent="0.3">
      <c r="A386" s="4">
        <f t="shared" ref="A386:A449" si="18">DATE(E386, D386, B386)</f>
        <v>46140</v>
      </c>
      <c r="B386">
        <v>28</v>
      </c>
      <c r="C386" t="s">
        <v>1033</v>
      </c>
      <c r="D386" cm="1">
        <f t="array" ref="D386">_xlfn.SWITCH(C386, "JAN", 1, "FEB", 2, "MAR", 3, "APR", 4,"MAY", 5, "JUN",6, "JUL", 7, "AUG", 8, "SEP", 9, "OCT", 10, "NOV", 11, "DEC", 12, "NO")</f>
        <v>4</v>
      </c>
      <c r="E386">
        <v>2026</v>
      </c>
      <c r="F386" t="s">
        <v>1053</v>
      </c>
      <c r="G386">
        <f t="shared" si="17"/>
        <v>17</v>
      </c>
      <c r="H386">
        <v>31</v>
      </c>
      <c r="I386" t="s">
        <v>12</v>
      </c>
      <c r="J386">
        <v>3000</v>
      </c>
      <c r="K386" t="s">
        <v>1054</v>
      </c>
      <c r="L386" t="s">
        <v>1055</v>
      </c>
      <c r="M386" t="str">
        <f t="shared" ref="M386:M449" si="19">TEXT(A386, "DDDD")</f>
        <v>Tuesday</v>
      </c>
    </row>
    <row r="387" spans="1:13" x14ac:dyDescent="0.3">
      <c r="A387" s="4">
        <f t="shared" si="18"/>
        <v>46139</v>
      </c>
      <c r="B387">
        <v>27</v>
      </c>
      <c r="C387" t="s">
        <v>1033</v>
      </c>
      <c r="D387" cm="1">
        <f t="array" ref="D387">_xlfn.SWITCH(C387, "JAN", 1, "FEB", 2, "MAR", 3, "APR", 4,"MAY", 5, "JUN",6, "JUL", 7, "AUG", 8, "SEP", 9, "OCT", 10, "NOV", 11, "DEC", 12, "NO")</f>
        <v>4</v>
      </c>
      <c r="E387">
        <v>2026</v>
      </c>
      <c r="F387" t="s">
        <v>1056</v>
      </c>
      <c r="G387">
        <f t="shared" ref="G387:G450" si="20">HOUR(F387)</f>
        <v>16</v>
      </c>
      <c r="H387">
        <v>10</v>
      </c>
      <c r="I387" t="s">
        <v>84</v>
      </c>
      <c r="J387">
        <v>500</v>
      </c>
      <c r="K387" t="s">
        <v>1057</v>
      </c>
      <c r="L387" t="s">
        <v>1058</v>
      </c>
      <c r="M387" t="str">
        <f t="shared" si="19"/>
        <v>Monday</v>
      </c>
    </row>
    <row r="388" spans="1:13" x14ac:dyDescent="0.3">
      <c r="A388" s="4">
        <f t="shared" si="18"/>
        <v>46138</v>
      </c>
      <c r="B388">
        <v>26</v>
      </c>
      <c r="C388" t="s">
        <v>1033</v>
      </c>
      <c r="D388" cm="1">
        <f t="array" ref="D388">_xlfn.SWITCH(C388, "JAN", 1, "FEB", 2, "MAR", 3, "APR", 4,"MAY", 5, "JUN",6, "JUL", 7, "AUG", 8, "SEP", 9, "OCT", 10, "NOV", 11, "DEC", 12, "NO")</f>
        <v>4</v>
      </c>
      <c r="E388">
        <v>2026</v>
      </c>
      <c r="F388" t="s">
        <v>1059</v>
      </c>
      <c r="G388">
        <f t="shared" si="20"/>
        <v>22</v>
      </c>
      <c r="H388">
        <v>31</v>
      </c>
      <c r="I388" t="s">
        <v>84</v>
      </c>
      <c r="J388">
        <v>1500</v>
      </c>
      <c r="K388" t="s">
        <v>1060</v>
      </c>
      <c r="L388" t="s">
        <v>1061</v>
      </c>
      <c r="M388" t="str">
        <f t="shared" si="19"/>
        <v>Sunday</v>
      </c>
    </row>
    <row r="389" spans="1:13" x14ac:dyDescent="0.3">
      <c r="A389" s="4">
        <f t="shared" si="18"/>
        <v>46138</v>
      </c>
      <c r="B389">
        <v>26</v>
      </c>
      <c r="C389" t="s">
        <v>1033</v>
      </c>
      <c r="D389" cm="1">
        <f t="array" ref="D389">_xlfn.SWITCH(C389, "JAN", 1, "FEB", 2, "MAR", 3, "APR", 4,"MAY", 5, "JUN",6, "JUL", 7, "AUG", 8, "SEP", 9, "OCT", 10, "NOV", 11, "DEC", 12, "NO")</f>
        <v>4</v>
      </c>
      <c r="E389">
        <v>2026</v>
      </c>
      <c r="F389" t="s">
        <v>320</v>
      </c>
      <c r="G389">
        <f t="shared" si="20"/>
        <v>17</v>
      </c>
      <c r="H389">
        <v>42</v>
      </c>
      <c r="I389" t="s">
        <v>12</v>
      </c>
      <c r="J389">
        <v>965</v>
      </c>
      <c r="K389" t="s">
        <v>1062</v>
      </c>
      <c r="L389" t="s">
        <v>1063</v>
      </c>
      <c r="M389" t="str">
        <f t="shared" si="19"/>
        <v>Sunday</v>
      </c>
    </row>
    <row r="390" spans="1:13" x14ac:dyDescent="0.3">
      <c r="A390" s="4">
        <f t="shared" si="18"/>
        <v>46138</v>
      </c>
      <c r="B390">
        <v>26</v>
      </c>
      <c r="C390" t="s">
        <v>1033</v>
      </c>
      <c r="D390" cm="1">
        <f t="array" ref="D390">_xlfn.SWITCH(C390, "JAN", 1, "FEB", 2, "MAR", 3, "APR", 4,"MAY", 5, "JUN",6, "JUL", 7, "AUG", 8, "SEP", 9, "OCT", 10, "NOV", 11, "DEC", 12, "NO")</f>
        <v>4</v>
      </c>
      <c r="E390">
        <v>2026</v>
      </c>
      <c r="F390" t="s">
        <v>673</v>
      </c>
      <c r="G390">
        <f t="shared" si="20"/>
        <v>17</v>
      </c>
      <c r="H390">
        <v>41</v>
      </c>
      <c r="I390" t="s">
        <v>84</v>
      </c>
      <c r="J390">
        <v>965</v>
      </c>
      <c r="K390" t="s">
        <v>1064</v>
      </c>
      <c r="L390" t="s">
        <v>1065</v>
      </c>
      <c r="M390" t="str">
        <f t="shared" si="19"/>
        <v>Sunday</v>
      </c>
    </row>
    <row r="391" spans="1:13" x14ac:dyDescent="0.3">
      <c r="A391" s="4">
        <f t="shared" si="18"/>
        <v>46138</v>
      </c>
      <c r="B391">
        <v>26</v>
      </c>
      <c r="C391" t="s">
        <v>1033</v>
      </c>
      <c r="D391" cm="1">
        <f t="array" ref="D391">_xlfn.SWITCH(C391, "JAN", 1, "FEB", 2, "MAR", 3, "APR", 4,"MAY", 5, "JUN",6, "JUL", 7, "AUG", 8, "SEP", 9, "OCT", 10, "NOV", 11, "DEC", 12, "NO")</f>
        <v>4</v>
      </c>
      <c r="E391">
        <v>2026</v>
      </c>
      <c r="F391" t="s">
        <v>564</v>
      </c>
      <c r="G391">
        <f t="shared" si="20"/>
        <v>17</v>
      </c>
      <c r="H391">
        <v>39</v>
      </c>
      <c r="I391" t="s">
        <v>84</v>
      </c>
      <c r="J391">
        <v>965</v>
      </c>
      <c r="K391" t="s">
        <v>1066</v>
      </c>
      <c r="L391" t="s">
        <v>1067</v>
      </c>
      <c r="M391" t="str">
        <f t="shared" si="19"/>
        <v>Sunday</v>
      </c>
    </row>
    <row r="392" spans="1:13" x14ac:dyDescent="0.3">
      <c r="A392" s="4">
        <f t="shared" si="18"/>
        <v>46137</v>
      </c>
      <c r="B392">
        <v>25</v>
      </c>
      <c r="C392" t="s">
        <v>1033</v>
      </c>
      <c r="D392" cm="1">
        <f t="array" ref="D392">_xlfn.SWITCH(C392, "JAN", 1, "FEB", 2, "MAR", 3, "APR", 4,"MAY", 5, "JUN",6, "JUL", 7, "AUG", 8, "SEP", 9, "OCT", 10, "NOV", 11, "DEC", 12, "NO")</f>
        <v>4</v>
      </c>
      <c r="E392">
        <v>2026</v>
      </c>
      <c r="F392" t="s">
        <v>1068</v>
      </c>
      <c r="G392">
        <f t="shared" si="20"/>
        <v>19</v>
      </c>
      <c r="H392">
        <v>40</v>
      </c>
      <c r="I392" t="s">
        <v>84</v>
      </c>
      <c r="J392">
        <v>353</v>
      </c>
      <c r="K392" t="s">
        <v>1069</v>
      </c>
      <c r="L392" t="s">
        <v>1070</v>
      </c>
      <c r="M392" t="str">
        <f t="shared" si="19"/>
        <v>Saturday</v>
      </c>
    </row>
    <row r="393" spans="1:13" x14ac:dyDescent="0.3">
      <c r="A393" s="4">
        <f t="shared" si="18"/>
        <v>46137</v>
      </c>
      <c r="B393">
        <v>25</v>
      </c>
      <c r="C393" t="s">
        <v>1033</v>
      </c>
      <c r="D393" cm="1">
        <f t="array" ref="D393">_xlfn.SWITCH(C393, "JAN", 1, "FEB", 2, "MAR", 3, "APR", 4,"MAY", 5, "JUN",6, "JUL", 7, "AUG", 8, "SEP", 9, "OCT", 10, "NOV", 11, "DEC", 12, "NO")</f>
        <v>4</v>
      </c>
      <c r="E393">
        <v>2026</v>
      </c>
      <c r="F393" t="s">
        <v>1071</v>
      </c>
      <c r="G393">
        <f t="shared" si="20"/>
        <v>16</v>
      </c>
      <c r="H393">
        <v>32</v>
      </c>
      <c r="I393" t="s">
        <v>84</v>
      </c>
      <c r="J393">
        <v>29</v>
      </c>
      <c r="K393" t="s">
        <v>1072</v>
      </c>
      <c r="L393" t="s">
        <v>1073</v>
      </c>
      <c r="M393" t="str">
        <f t="shared" si="19"/>
        <v>Saturday</v>
      </c>
    </row>
    <row r="394" spans="1:13" x14ac:dyDescent="0.3">
      <c r="A394" s="4">
        <f t="shared" si="18"/>
        <v>46137</v>
      </c>
      <c r="B394">
        <v>25</v>
      </c>
      <c r="C394" t="s">
        <v>1033</v>
      </c>
      <c r="D394" cm="1">
        <f t="array" ref="D394">_xlfn.SWITCH(C394, "JAN", 1, "FEB", 2, "MAR", 3, "APR", 4,"MAY", 5, "JUN",6, "JUL", 7, "AUG", 8, "SEP", 9, "OCT", 10, "NOV", 11, "DEC", 12, "NO")</f>
        <v>4</v>
      </c>
      <c r="E394">
        <v>2026</v>
      </c>
      <c r="F394" t="s">
        <v>471</v>
      </c>
      <c r="G394">
        <f t="shared" si="20"/>
        <v>16</v>
      </c>
      <c r="H394">
        <v>20</v>
      </c>
      <c r="I394" t="s">
        <v>12</v>
      </c>
      <c r="J394">
        <v>1020</v>
      </c>
      <c r="K394" t="s">
        <v>1074</v>
      </c>
      <c r="L394" t="s">
        <v>1075</v>
      </c>
      <c r="M394" t="str">
        <f t="shared" si="19"/>
        <v>Saturday</v>
      </c>
    </row>
    <row r="395" spans="1:13" x14ac:dyDescent="0.3">
      <c r="A395" s="4">
        <f t="shared" si="18"/>
        <v>46137</v>
      </c>
      <c r="B395">
        <v>25</v>
      </c>
      <c r="C395" t="s">
        <v>1033</v>
      </c>
      <c r="D395" cm="1">
        <f t="array" ref="D395">_xlfn.SWITCH(C395, "JAN", 1, "FEB", 2, "MAR", 3, "APR", 4,"MAY", 5, "JUN",6, "JUL", 7, "AUG", 8, "SEP", 9, "OCT", 10, "NOV", 11, "DEC", 12, "NO")</f>
        <v>4</v>
      </c>
      <c r="E395">
        <v>2026</v>
      </c>
      <c r="F395" t="s">
        <v>1076</v>
      </c>
      <c r="G395">
        <f t="shared" si="20"/>
        <v>14</v>
      </c>
      <c r="H395">
        <v>38</v>
      </c>
      <c r="I395" t="s">
        <v>12</v>
      </c>
      <c r="J395">
        <v>50</v>
      </c>
      <c r="K395" t="s">
        <v>1077</v>
      </c>
      <c r="L395" t="s">
        <v>1078</v>
      </c>
      <c r="M395" t="str">
        <f t="shared" si="19"/>
        <v>Saturday</v>
      </c>
    </row>
    <row r="396" spans="1:13" x14ac:dyDescent="0.3">
      <c r="A396" s="4">
        <f t="shared" si="18"/>
        <v>46137</v>
      </c>
      <c r="B396">
        <v>25</v>
      </c>
      <c r="C396" t="s">
        <v>1033</v>
      </c>
      <c r="D396" cm="1">
        <f t="array" ref="D396">_xlfn.SWITCH(C396, "JAN", 1, "FEB", 2, "MAR", 3, "APR", 4,"MAY", 5, "JUN",6, "JUL", 7, "AUG", 8, "SEP", 9, "OCT", 10, "NOV", 11, "DEC", 12, "NO")</f>
        <v>4</v>
      </c>
      <c r="E396">
        <v>2026</v>
      </c>
      <c r="F396" t="s">
        <v>1079</v>
      </c>
      <c r="G396">
        <f t="shared" si="20"/>
        <v>14</v>
      </c>
      <c r="H396">
        <v>3</v>
      </c>
      <c r="I396" t="s">
        <v>12</v>
      </c>
      <c r="J396">
        <v>300</v>
      </c>
      <c r="K396" t="s">
        <v>1080</v>
      </c>
      <c r="L396" t="s">
        <v>1081</v>
      </c>
      <c r="M396" t="str">
        <f t="shared" si="19"/>
        <v>Saturday</v>
      </c>
    </row>
    <row r="397" spans="1:13" x14ac:dyDescent="0.3">
      <c r="A397" s="4">
        <f t="shared" si="18"/>
        <v>46137</v>
      </c>
      <c r="B397">
        <v>25</v>
      </c>
      <c r="C397" t="s">
        <v>1033</v>
      </c>
      <c r="D397" cm="1">
        <f t="array" ref="D397">_xlfn.SWITCH(C397, "JAN", 1, "FEB", 2, "MAR", 3, "APR", 4,"MAY", 5, "JUN",6, "JUL", 7, "AUG", 8, "SEP", 9, "OCT", 10, "NOV", 11, "DEC", 12, "NO")</f>
        <v>4</v>
      </c>
      <c r="E397">
        <v>2026</v>
      </c>
      <c r="F397" t="s">
        <v>1082</v>
      </c>
      <c r="G397">
        <f t="shared" si="20"/>
        <v>7</v>
      </c>
      <c r="H397">
        <v>43</v>
      </c>
      <c r="I397" t="s">
        <v>84</v>
      </c>
      <c r="J397">
        <v>37</v>
      </c>
      <c r="K397" t="s">
        <v>1083</v>
      </c>
      <c r="L397" t="s">
        <v>1084</v>
      </c>
      <c r="M397" t="str">
        <f t="shared" si="19"/>
        <v>Saturday</v>
      </c>
    </row>
    <row r="398" spans="1:13" x14ac:dyDescent="0.3">
      <c r="A398" s="4">
        <f t="shared" si="18"/>
        <v>46137</v>
      </c>
      <c r="B398">
        <v>25</v>
      </c>
      <c r="C398" t="s">
        <v>1033</v>
      </c>
      <c r="D398" cm="1">
        <f t="array" ref="D398">_xlfn.SWITCH(C398, "JAN", 1, "FEB", 2, "MAR", 3, "APR", 4,"MAY", 5, "JUN",6, "JUL", 7, "AUG", 8, "SEP", 9, "OCT", 10, "NOV", 11, "DEC", 12, "NO")</f>
        <v>4</v>
      </c>
      <c r="E398">
        <v>2026</v>
      </c>
      <c r="F398" t="s">
        <v>1085</v>
      </c>
      <c r="G398">
        <f t="shared" si="20"/>
        <v>7</v>
      </c>
      <c r="H398">
        <v>7</v>
      </c>
      <c r="I398" t="s">
        <v>12</v>
      </c>
      <c r="J398">
        <v>200</v>
      </c>
      <c r="K398" t="s">
        <v>1086</v>
      </c>
      <c r="L398" t="s">
        <v>1087</v>
      </c>
      <c r="M398" t="str">
        <f t="shared" si="19"/>
        <v>Saturday</v>
      </c>
    </row>
    <row r="399" spans="1:13" x14ac:dyDescent="0.3">
      <c r="A399" s="4">
        <f t="shared" si="18"/>
        <v>46136</v>
      </c>
      <c r="B399">
        <v>24</v>
      </c>
      <c r="C399" t="s">
        <v>1033</v>
      </c>
      <c r="D399" cm="1">
        <f t="array" ref="D399">_xlfn.SWITCH(C399, "JAN", 1, "FEB", 2, "MAR", 3, "APR", 4,"MAY", 5, "JUN",6, "JUL", 7, "AUG", 8, "SEP", 9, "OCT", 10, "NOV", 11, "DEC", 12, "NO")</f>
        <v>4</v>
      </c>
      <c r="E399">
        <v>2026</v>
      </c>
      <c r="F399" t="s">
        <v>1088</v>
      </c>
      <c r="G399">
        <f t="shared" si="20"/>
        <v>19</v>
      </c>
      <c r="H399">
        <v>30</v>
      </c>
      <c r="I399" t="s">
        <v>84</v>
      </c>
      <c r="J399">
        <v>1000</v>
      </c>
      <c r="K399" t="s">
        <v>1089</v>
      </c>
      <c r="L399" t="s">
        <v>1090</v>
      </c>
      <c r="M399" t="str">
        <f t="shared" si="19"/>
        <v>Friday</v>
      </c>
    </row>
    <row r="400" spans="1:13" x14ac:dyDescent="0.3">
      <c r="A400" s="4">
        <f t="shared" si="18"/>
        <v>46136</v>
      </c>
      <c r="B400">
        <v>24</v>
      </c>
      <c r="C400" t="s">
        <v>1033</v>
      </c>
      <c r="D400" cm="1">
        <f t="array" ref="D400">_xlfn.SWITCH(C400, "JAN", 1, "FEB", 2, "MAR", 3, "APR", 4,"MAY", 5, "JUN",6, "JUL", 7, "AUG", 8, "SEP", 9, "OCT", 10, "NOV", 11, "DEC", 12, "NO")</f>
        <v>4</v>
      </c>
      <c r="E400">
        <v>2026</v>
      </c>
      <c r="F400" t="s">
        <v>1091</v>
      </c>
      <c r="G400">
        <f t="shared" si="20"/>
        <v>16</v>
      </c>
      <c r="H400">
        <v>42</v>
      </c>
      <c r="I400" t="s">
        <v>84</v>
      </c>
      <c r="J400">
        <v>37</v>
      </c>
      <c r="K400" t="s">
        <v>1092</v>
      </c>
      <c r="L400" t="s">
        <v>1093</v>
      </c>
      <c r="M400" t="str">
        <f t="shared" si="19"/>
        <v>Friday</v>
      </c>
    </row>
    <row r="401" spans="1:13" x14ac:dyDescent="0.3">
      <c r="A401" s="4">
        <f t="shared" si="18"/>
        <v>46136</v>
      </c>
      <c r="B401">
        <v>24</v>
      </c>
      <c r="C401" t="s">
        <v>1033</v>
      </c>
      <c r="D401" cm="1">
        <f t="array" ref="D401">_xlfn.SWITCH(C401, "JAN", 1, "FEB", 2, "MAR", 3, "APR", 4,"MAY", 5, "JUN",6, "JUL", 7, "AUG", 8, "SEP", 9, "OCT", 10, "NOV", 11, "DEC", 12, "NO")</f>
        <v>4</v>
      </c>
      <c r="E401">
        <v>2026</v>
      </c>
      <c r="F401" t="s">
        <v>706</v>
      </c>
      <c r="G401">
        <f t="shared" si="20"/>
        <v>15</v>
      </c>
      <c r="H401">
        <v>19</v>
      </c>
      <c r="I401" t="s">
        <v>84</v>
      </c>
      <c r="J401">
        <v>35</v>
      </c>
      <c r="K401" t="s">
        <v>1094</v>
      </c>
      <c r="L401" t="s">
        <v>1095</v>
      </c>
      <c r="M401" t="str">
        <f t="shared" si="19"/>
        <v>Friday</v>
      </c>
    </row>
    <row r="402" spans="1:13" x14ac:dyDescent="0.3">
      <c r="A402" s="4">
        <f t="shared" si="18"/>
        <v>46136</v>
      </c>
      <c r="B402">
        <v>24</v>
      </c>
      <c r="C402" t="s">
        <v>1033</v>
      </c>
      <c r="D402" cm="1">
        <f t="array" ref="D402">_xlfn.SWITCH(C402, "JAN", 1, "FEB", 2, "MAR", 3, "APR", 4,"MAY", 5, "JUN",6, "JUL", 7, "AUG", 8, "SEP", 9, "OCT", 10, "NOV", 11, "DEC", 12, "NO")</f>
        <v>4</v>
      </c>
      <c r="E402">
        <v>2026</v>
      </c>
      <c r="F402" t="s">
        <v>1096</v>
      </c>
      <c r="G402">
        <f t="shared" si="20"/>
        <v>7</v>
      </c>
      <c r="H402">
        <v>33</v>
      </c>
      <c r="I402" t="s">
        <v>84</v>
      </c>
      <c r="J402">
        <v>37</v>
      </c>
      <c r="K402" t="s">
        <v>1097</v>
      </c>
      <c r="L402" t="s">
        <v>1098</v>
      </c>
      <c r="M402" t="str">
        <f t="shared" si="19"/>
        <v>Friday</v>
      </c>
    </row>
    <row r="403" spans="1:13" x14ac:dyDescent="0.3">
      <c r="A403" s="4">
        <f t="shared" si="18"/>
        <v>46135</v>
      </c>
      <c r="B403">
        <v>23</v>
      </c>
      <c r="C403" t="s">
        <v>1033</v>
      </c>
      <c r="D403" cm="1">
        <f t="array" ref="D403">_xlfn.SWITCH(C403, "JAN", 1, "FEB", 2, "MAR", 3, "APR", 4,"MAY", 5, "JUN",6, "JUL", 7, "AUG", 8, "SEP", 9, "OCT", 10, "NOV", 11, "DEC", 12, "NO")</f>
        <v>4</v>
      </c>
      <c r="E403">
        <v>2026</v>
      </c>
      <c r="F403" t="s">
        <v>1099</v>
      </c>
      <c r="G403">
        <f t="shared" si="20"/>
        <v>20</v>
      </c>
      <c r="H403">
        <v>0</v>
      </c>
      <c r="I403" t="s">
        <v>12</v>
      </c>
      <c r="J403">
        <v>6000</v>
      </c>
      <c r="K403" t="s">
        <v>1100</v>
      </c>
      <c r="L403" t="s">
        <v>1101</v>
      </c>
      <c r="M403" t="str">
        <f t="shared" si="19"/>
        <v>Thursday</v>
      </c>
    </row>
    <row r="404" spans="1:13" x14ac:dyDescent="0.3">
      <c r="A404" s="4">
        <f t="shared" si="18"/>
        <v>46135</v>
      </c>
      <c r="B404">
        <v>23</v>
      </c>
      <c r="C404" t="s">
        <v>1033</v>
      </c>
      <c r="D404" cm="1">
        <f t="array" ref="D404">_xlfn.SWITCH(C404, "JAN", 1, "FEB", 2, "MAR", 3, "APR", 4,"MAY", 5, "JUN",6, "JUL", 7, "AUG", 8, "SEP", 9, "OCT", 10, "NOV", 11, "DEC", 12, "NO")</f>
        <v>4</v>
      </c>
      <c r="E404">
        <v>2026</v>
      </c>
      <c r="F404" t="s">
        <v>1102</v>
      </c>
      <c r="G404">
        <f t="shared" si="20"/>
        <v>19</v>
      </c>
      <c r="H404">
        <v>44</v>
      </c>
      <c r="I404" t="s">
        <v>84</v>
      </c>
      <c r="J404">
        <v>240</v>
      </c>
      <c r="K404" t="s">
        <v>1103</v>
      </c>
      <c r="L404" t="s">
        <v>1104</v>
      </c>
      <c r="M404" t="str">
        <f t="shared" si="19"/>
        <v>Thursday</v>
      </c>
    </row>
    <row r="405" spans="1:13" x14ac:dyDescent="0.3">
      <c r="A405" s="4">
        <f t="shared" si="18"/>
        <v>46135</v>
      </c>
      <c r="B405">
        <v>23</v>
      </c>
      <c r="C405" t="s">
        <v>1033</v>
      </c>
      <c r="D405" cm="1">
        <f t="array" ref="D405">_xlfn.SWITCH(C405, "JAN", 1, "FEB", 2, "MAR", 3, "APR", 4,"MAY", 5, "JUN",6, "JUL", 7, "AUG", 8, "SEP", 9, "OCT", 10, "NOV", 11, "DEC", 12, "NO")</f>
        <v>4</v>
      </c>
      <c r="E405">
        <v>2026</v>
      </c>
      <c r="F405" t="s">
        <v>1105</v>
      </c>
      <c r="G405">
        <f t="shared" si="20"/>
        <v>14</v>
      </c>
      <c r="H405">
        <v>35</v>
      </c>
      <c r="I405" t="s">
        <v>84</v>
      </c>
      <c r="J405">
        <v>6000</v>
      </c>
      <c r="K405" t="s">
        <v>1106</v>
      </c>
      <c r="L405" t="s">
        <v>1107</v>
      </c>
      <c r="M405" t="str">
        <f t="shared" si="19"/>
        <v>Thursday</v>
      </c>
    </row>
    <row r="406" spans="1:13" x14ac:dyDescent="0.3">
      <c r="A406" s="4">
        <f t="shared" si="18"/>
        <v>46135</v>
      </c>
      <c r="B406">
        <v>23</v>
      </c>
      <c r="C406" t="s">
        <v>1033</v>
      </c>
      <c r="D406" cm="1">
        <f t="array" ref="D406">_xlfn.SWITCH(C406, "JAN", 1, "FEB", 2, "MAR", 3, "APR", 4,"MAY", 5, "JUN",6, "JUL", 7, "AUG", 8, "SEP", 9, "OCT", 10, "NOV", 11, "DEC", 12, "NO")</f>
        <v>4</v>
      </c>
      <c r="E406">
        <v>2026</v>
      </c>
      <c r="F406" t="s">
        <v>1108</v>
      </c>
      <c r="G406">
        <f t="shared" si="20"/>
        <v>10</v>
      </c>
      <c r="H406">
        <v>23</v>
      </c>
      <c r="I406" t="s">
        <v>84</v>
      </c>
      <c r="J406">
        <v>37</v>
      </c>
      <c r="K406" t="s">
        <v>1109</v>
      </c>
      <c r="L406" t="s">
        <v>1110</v>
      </c>
      <c r="M406" t="str">
        <f t="shared" si="19"/>
        <v>Thursday</v>
      </c>
    </row>
    <row r="407" spans="1:13" x14ac:dyDescent="0.3">
      <c r="A407" s="4">
        <f t="shared" si="18"/>
        <v>46135</v>
      </c>
      <c r="B407">
        <v>23</v>
      </c>
      <c r="C407" t="s">
        <v>1033</v>
      </c>
      <c r="D407" cm="1">
        <f t="array" ref="D407">_xlfn.SWITCH(C407, "JAN", 1, "FEB", 2, "MAR", 3, "APR", 4,"MAY", 5, "JUN",6, "JUL", 7, "AUG", 8, "SEP", 9, "OCT", 10, "NOV", 11, "DEC", 12, "NO")</f>
        <v>4</v>
      </c>
      <c r="E407">
        <v>2026</v>
      </c>
      <c r="F407" t="s">
        <v>1111</v>
      </c>
      <c r="G407">
        <f t="shared" si="20"/>
        <v>7</v>
      </c>
      <c r="H407">
        <v>28</v>
      </c>
      <c r="I407" t="s">
        <v>84</v>
      </c>
      <c r="J407">
        <v>37</v>
      </c>
      <c r="K407" t="s">
        <v>1112</v>
      </c>
      <c r="L407" t="s">
        <v>1113</v>
      </c>
      <c r="M407" t="str">
        <f t="shared" si="19"/>
        <v>Thursday</v>
      </c>
    </row>
    <row r="408" spans="1:13" x14ac:dyDescent="0.3">
      <c r="A408" s="4">
        <f t="shared" si="18"/>
        <v>46134</v>
      </c>
      <c r="B408">
        <v>22</v>
      </c>
      <c r="C408" t="s">
        <v>1033</v>
      </c>
      <c r="D408" cm="1">
        <f t="array" ref="D408">_xlfn.SWITCH(C408, "JAN", 1, "FEB", 2, "MAR", 3, "APR", 4,"MAY", 5, "JUN",6, "JUL", 7, "AUG", 8, "SEP", 9, "OCT", 10, "NOV", 11, "DEC", 12, "NO")</f>
        <v>4</v>
      </c>
      <c r="E408">
        <v>2026</v>
      </c>
      <c r="F408" t="s">
        <v>1114</v>
      </c>
      <c r="G408">
        <f t="shared" si="20"/>
        <v>21</v>
      </c>
      <c r="H408">
        <v>38</v>
      </c>
      <c r="I408" t="s">
        <v>84</v>
      </c>
      <c r="J408">
        <v>2978</v>
      </c>
      <c r="K408" t="s">
        <v>1115</v>
      </c>
      <c r="L408" t="s">
        <v>1116</v>
      </c>
      <c r="M408" t="str">
        <f t="shared" si="19"/>
        <v>Wednesday</v>
      </c>
    </row>
    <row r="409" spans="1:13" x14ac:dyDescent="0.3">
      <c r="A409" s="4">
        <f t="shared" si="18"/>
        <v>46134</v>
      </c>
      <c r="B409">
        <v>22</v>
      </c>
      <c r="C409" t="s">
        <v>1033</v>
      </c>
      <c r="D409" cm="1">
        <f t="array" ref="D409">_xlfn.SWITCH(C409, "JAN", 1, "FEB", 2, "MAR", 3, "APR", 4,"MAY", 5, "JUN",6, "JUL", 7, "AUG", 8, "SEP", 9, "OCT", 10, "NOV", 11, "DEC", 12, "NO")</f>
        <v>4</v>
      </c>
      <c r="E409">
        <v>2026</v>
      </c>
      <c r="F409" t="s">
        <v>1117</v>
      </c>
      <c r="G409">
        <f t="shared" si="20"/>
        <v>21</v>
      </c>
      <c r="H409">
        <v>34</v>
      </c>
      <c r="I409" t="s">
        <v>12</v>
      </c>
      <c r="J409">
        <v>280</v>
      </c>
      <c r="K409" t="s">
        <v>1118</v>
      </c>
      <c r="L409" t="s">
        <v>1119</v>
      </c>
      <c r="M409" t="str">
        <f t="shared" si="19"/>
        <v>Wednesday</v>
      </c>
    </row>
    <row r="410" spans="1:13" x14ac:dyDescent="0.3">
      <c r="A410" s="4">
        <f t="shared" si="18"/>
        <v>46134</v>
      </c>
      <c r="B410">
        <v>22</v>
      </c>
      <c r="C410" t="s">
        <v>1033</v>
      </c>
      <c r="D410" cm="1">
        <f t="array" ref="D410">_xlfn.SWITCH(C410, "JAN", 1, "FEB", 2, "MAR", 3, "APR", 4,"MAY", 5, "JUN",6, "JUL", 7, "AUG", 8, "SEP", 9, "OCT", 10, "NOV", 11, "DEC", 12, "NO")</f>
        <v>4</v>
      </c>
      <c r="E410">
        <v>2026</v>
      </c>
      <c r="F410" t="s">
        <v>387</v>
      </c>
      <c r="G410">
        <f t="shared" si="20"/>
        <v>18</v>
      </c>
      <c r="H410">
        <v>54</v>
      </c>
      <c r="I410" t="s">
        <v>12</v>
      </c>
      <c r="J410">
        <v>2700</v>
      </c>
      <c r="K410" t="s">
        <v>1120</v>
      </c>
      <c r="L410" t="s">
        <v>1121</v>
      </c>
      <c r="M410" t="str">
        <f t="shared" si="19"/>
        <v>Wednesday</v>
      </c>
    </row>
    <row r="411" spans="1:13" x14ac:dyDescent="0.3">
      <c r="A411" s="4">
        <f t="shared" si="18"/>
        <v>46134</v>
      </c>
      <c r="B411">
        <v>22</v>
      </c>
      <c r="C411" t="s">
        <v>1033</v>
      </c>
      <c r="D411" cm="1">
        <f t="array" ref="D411">_xlfn.SWITCH(C411, "JAN", 1, "FEB", 2, "MAR", 3, "APR", 4,"MAY", 5, "JUN",6, "JUL", 7, "AUG", 8, "SEP", 9, "OCT", 10, "NOV", 11, "DEC", 12, "NO")</f>
        <v>4</v>
      </c>
      <c r="E411">
        <v>2026</v>
      </c>
      <c r="F411" t="s">
        <v>477</v>
      </c>
      <c r="G411">
        <f t="shared" si="20"/>
        <v>16</v>
      </c>
      <c r="H411">
        <v>9</v>
      </c>
      <c r="I411" t="s">
        <v>12</v>
      </c>
      <c r="J411">
        <v>30</v>
      </c>
      <c r="K411" t="s">
        <v>1122</v>
      </c>
      <c r="L411" t="s">
        <v>1123</v>
      </c>
      <c r="M411" t="str">
        <f t="shared" si="19"/>
        <v>Wednesday</v>
      </c>
    </row>
    <row r="412" spans="1:13" x14ac:dyDescent="0.3">
      <c r="A412" s="4">
        <f t="shared" si="18"/>
        <v>46134</v>
      </c>
      <c r="B412">
        <v>22</v>
      </c>
      <c r="C412" t="s">
        <v>1033</v>
      </c>
      <c r="D412" cm="1">
        <f t="array" ref="D412">_xlfn.SWITCH(C412, "JAN", 1, "FEB", 2, "MAR", 3, "APR", 4,"MAY", 5, "JUN",6, "JUL", 7, "AUG", 8, "SEP", 9, "OCT", 10, "NOV", 11, "DEC", 12, "NO")</f>
        <v>4</v>
      </c>
      <c r="E412">
        <v>2026</v>
      </c>
      <c r="F412" t="s">
        <v>1124</v>
      </c>
      <c r="G412">
        <f t="shared" si="20"/>
        <v>15</v>
      </c>
      <c r="H412">
        <v>16</v>
      </c>
      <c r="I412" t="s">
        <v>12</v>
      </c>
      <c r="J412">
        <v>30</v>
      </c>
      <c r="K412" t="s">
        <v>1125</v>
      </c>
      <c r="L412" t="s">
        <v>1126</v>
      </c>
      <c r="M412" t="str">
        <f t="shared" si="19"/>
        <v>Wednesday</v>
      </c>
    </row>
    <row r="413" spans="1:13" x14ac:dyDescent="0.3">
      <c r="A413" s="4">
        <f t="shared" si="18"/>
        <v>46134</v>
      </c>
      <c r="B413">
        <v>22</v>
      </c>
      <c r="C413" t="s">
        <v>1033</v>
      </c>
      <c r="D413" cm="1">
        <f t="array" ref="D413">_xlfn.SWITCH(C413, "JAN", 1, "FEB", 2, "MAR", 3, "APR", 4,"MAY", 5, "JUN",6, "JUL", 7, "AUG", 8, "SEP", 9, "OCT", 10, "NOV", 11, "DEC", 12, "NO")</f>
        <v>4</v>
      </c>
      <c r="E413">
        <v>2026</v>
      </c>
      <c r="F413" t="s">
        <v>963</v>
      </c>
      <c r="G413">
        <f t="shared" si="20"/>
        <v>14</v>
      </c>
      <c r="H413">
        <v>28</v>
      </c>
      <c r="I413" t="s">
        <v>12</v>
      </c>
      <c r="J413">
        <v>30</v>
      </c>
      <c r="K413" t="s">
        <v>1127</v>
      </c>
      <c r="L413" t="s">
        <v>1128</v>
      </c>
      <c r="M413" t="str">
        <f t="shared" si="19"/>
        <v>Wednesday</v>
      </c>
    </row>
    <row r="414" spans="1:13" x14ac:dyDescent="0.3">
      <c r="A414" s="4">
        <f t="shared" si="18"/>
        <v>46133</v>
      </c>
      <c r="B414">
        <v>21</v>
      </c>
      <c r="C414" t="s">
        <v>1033</v>
      </c>
      <c r="D414" cm="1">
        <f t="array" ref="D414">_xlfn.SWITCH(C414, "JAN", 1, "FEB", 2, "MAR", 3, "APR", 4,"MAY", 5, "JUN",6, "JUL", 7, "AUG", 8, "SEP", 9, "OCT", 10, "NOV", 11, "DEC", 12, "NO")</f>
        <v>4</v>
      </c>
      <c r="E414">
        <v>2026</v>
      </c>
      <c r="F414" t="s">
        <v>1129</v>
      </c>
      <c r="G414">
        <f t="shared" si="20"/>
        <v>13</v>
      </c>
      <c r="H414">
        <v>11</v>
      </c>
      <c r="I414" t="s">
        <v>84</v>
      </c>
      <c r="J414">
        <v>500</v>
      </c>
      <c r="K414" t="s">
        <v>1130</v>
      </c>
      <c r="L414" t="s">
        <v>1131</v>
      </c>
      <c r="M414" t="str">
        <f t="shared" si="19"/>
        <v>Tuesday</v>
      </c>
    </row>
    <row r="415" spans="1:13" x14ac:dyDescent="0.3">
      <c r="A415" s="4">
        <f t="shared" si="18"/>
        <v>46132</v>
      </c>
      <c r="B415">
        <v>20</v>
      </c>
      <c r="C415" t="s">
        <v>1033</v>
      </c>
      <c r="D415" cm="1">
        <f t="array" ref="D415">_xlfn.SWITCH(C415, "JAN", 1, "FEB", 2, "MAR", 3, "APR", 4,"MAY", 5, "JUN",6, "JUL", 7, "AUG", 8, "SEP", 9, "OCT", 10, "NOV", 11, "DEC", 12, "NO")</f>
        <v>4</v>
      </c>
      <c r="E415">
        <v>2026</v>
      </c>
      <c r="F415" t="s">
        <v>618</v>
      </c>
      <c r="G415">
        <f t="shared" si="20"/>
        <v>19</v>
      </c>
      <c r="H415">
        <v>43</v>
      </c>
      <c r="I415" t="s">
        <v>84</v>
      </c>
      <c r="J415">
        <v>3000</v>
      </c>
      <c r="K415" t="s">
        <v>1132</v>
      </c>
      <c r="L415" t="s">
        <v>1133</v>
      </c>
      <c r="M415" t="str">
        <f t="shared" si="19"/>
        <v>Monday</v>
      </c>
    </row>
    <row r="416" spans="1:13" x14ac:dyDescent="0.3">
      <c r="A416" s="4">
        <f t="shared" si="18"/>
        <v>46132</v>
      </c>
      <c r="B416">
        <v>20</v>
      </c>
      <c r="C416" t="s">
        <v>1033</v>
      </c>
      <c r="D416" cm="1">
        <f t="array" ref="D416">_xlfn.SWITCH(C416, "JAN", 1, "FEB", 2, "MAR", 3, "APR", 4,"MAY", 5, "JUN",6, "JUL", 7, "AUG", 8, "SEP", 9, "OCT", 10, "NOV", 11, "DEC", 12, "NO")</f>
        <v>4</v>
      </c>
      <c r="E416">
        <v>2026</v>
      </c>
      <c r="F416" t="s">
        <v>621</v>
      </c>
      <c r="G416">
        <f t="shared" si="20"/>
        <v>19</v>
      </c>
      <c r="H416">
        <v>41</v>
      </c>
      <c r="I416" t="s">
        <v>12</v>
      </c>
      <c r="J416">
        <v>3000</v>
      </c>
      <c r="K416" t="s">
        <v>1134</v>
      </c>
      <c r="L416" t="s">
        <v>1135</v>
      </c>
      <c r="M416" t="str">
        <f t="shared" si="19"/>
        <v>Monday</v>
      </c>
    </row>
    <row r="417" spans="1:13" x14ac:dyDescent="0.3">
      <c r="A417" s="4">
        <f t="shared" si="18"/>
        <v>46132</v>
      </c>
      <c r="B417">
        <v>20</v>
      </c>
      <c r="C417" t="s">
        <v>1033</v>
      </c>
      <c r="D417" cm="1">
        <f t="array" ref="D417">_xlfn.SWITCH(C417, "JAN", 1, "FEB", 2, "MAR", 3, "APR", 4,"MAY", 5, "JUN",6, "JUL", 7, "AUG", 8, "SEP", 9, "OCT", 10, "NOV", 11, "DEC", 12, "NO")</f>
        <v>4</v>
      </c>
      <c r="E417">
        <v>2026</v>
      </c>
      <c r="F417" t="s">
        <v>1136</v>
      </c>
      <c r="G417">
        <f t="shared" si="20"/>
        <v>19</v>
      </c>
      <c r="H417">
        <v>36</v>
      </c>
      <c r="I417" t="s">
        <v>84</v>
      </c>
      <c r="J417">
        <v>4960</v>
      </c>
      <c r="K417" t="s">
        <v>1137</v>
      </c>
      <c r="L417" t="s">
        <v>1138</v>
      </c>
      <c r="M417" t="str">
        <f t="shared" si="19"/>
        <v>Monday</v>
      </c>
    </row>
    <row r="418" spans="1:13" x14ac:dyDescent="0.3">
      <c r="A418" s="4">
        <f t="shared" si="18"/>
        <v>46131</v>
      </c>
      <c r="B418">
        <v>19</v>
      </c>
      <c r="C418" t="s">
        <v>1033</v>
      </c>
      <c r="D418" cm="1">
        <f t="array" ref="D418">_xlfn.SWITCH(C418, "JAN", 1, "FEB", 2, "MAR", 3, "APR", 4,"MAY", 5, "JUN",6, "JUL", 7, "AUG", 8, "SEP", 9, "OCT", 10, "NOV", 11, "DEC", 12, "NO")</f>
        <v>4</v>
      </c>
      <c r="E418">
        <v>2026</v>
      </c>
      <c r="F418" t="s">
        <v>1139</v>
      </c>
      <c r="G418">
        <f t="shared" si="20"/>
        <v>21</v>
      </c>
      <c r="H418">
        <v>7</v>
      </c>
      <c r="I418" t="s">
        <v>12</v>
      </c>
      <c r="J418">
        <v>4960</v>
      </c>
      <c r="K418" t="s">
        <v>1140</v>
      </c>
      <c r="L418" t="s">
        <v>1141</v>
      </c>
      <c r="M418" t="str">
        <f t="shared" si="19"/>
        <v>Sunday</v>
      </c>
    </row>
    <row r="419" spans="1:13" x14ac:dyDescent="0.3">
      <c r="A419" s="4">
        <f t="shared" si="18"/>
        <v>46131</v>
      </c>
      <c r="B419">
        <v>19</v>
      </c>
      <c r="C419" t="s">
        <v>1033</v>
      </c>
      <c r="D419" cm="1">
        <f t="array" ref="D419">_xlfn.SWITCH(C419, "JAN", 1, "FEB", 2, "MAR", 3, "APR", 4,"MAY", 5, "JUN",6, "JUL", 7, "AUG", 8, "SEP", 9, "OCT", 10, "NOV", 11, "DEC", 12, "NO")</f>
        <v>4</v>
      </c>
      <c r="E419">
        <v>2026</v>
      </c>
      <c r="F419" t="s">
        <v>1142</v>
      </c>
      <c r="G419">
        <f t="shared" si="20"/>
        <v>13</v>
      </c>
      <c r="H419">
        <v>32</v>
      </c>
      <c r="I419" t="s">
        <v>84</v>
      </c>
      <c r="J419">
        <v>60</v>
      </c>
      <c r="K419" t="s">
        <v>1143</v>
      </c>
      <c r="L419" t="s">
        <v>1144</v>
      </c>
      <c r="M419" t="str">
        <f t="shared" si="19"/>
        <v>Sunday</v>
      </c>
    </row>
    <row r="420" spans="1:13" x14ac:dyDescent="0.3">
      <c r="A420" s="4">
        <f t="shared" si="18"/>
        <v>46130</v>
      </c>
      <c r="B420">
        <v>18</v>
      </c>
      <c r="C420" t="s">
        <v>1033</v>
      </c>
      <c r="D420" cm="1">
        <f t="array" ref="D420">_xlfn.SWITCH(C420, "JAN", 1, "FEB", 2, "MAR", 3, "APR", 4,"MAY", 5, "JUN",6, "JUL", 7, "AUG", 8, "SEP", 9, "OCT", 10, "NOV", 11, "DEC", 12, "NO")</f>
        <v>4</v>
      </c>
      <c r="E420">
        <v>2026</v>
      </c>
      <c r="F420" t="s">
        <v>1145</v>
      </c>
      <c r="G420">
        <f t="shared" si="20"/>
        <v>16</v>
      </c>
      <c r="H420">
        <v>17</v>
      </c>
      <c r="I420" t="s">
        <v>12</v>
      </c>
      <c r="J420">
        <v>1000</v>
      </c>
      <c r="K420" t="s">
        <v>1146</v>
      </c>
      <c r="L420" t="s">
        <v>1147</v>
      </c>
      <c r="M420" t="str">
        <f t="shared" si="19"/>
        <v>Saturday</v>
      </c>
    </row>
    <row r="421" spans="1:13" x14ac:dyDescent="0.3">
      <c r="A421" s="4">
        <f t="shared" si="18"/>
        <v>46129</v>
      </c>
      <c r="B421">
        <v>17</v>
      </c>
      <c r="C421" t="s">
        <v>1033</v>
      </c>
      <c r="D421" cm="1">
        <f t="array" ref="D421">_xlfn.SWITCH(C421, "JAN", 1, "FEB", 2, "MAR", 3, "APR", 4,"MAY", 5, "JUN",6, "JUL", 7, "AUG", 8, "SEP", 9, "OCT", 10, "NOV", 11, "DEC", 12, "NO")</f>
        <v>4</v>
      </c>
      <c r="E421">
        <v>2026</v>
      </c>
      <c r="F421" t="s">
        <v>1148</v>
      </c>
      <c r="G421">
        <f t="shared" si="20"/>
        <v>16</v>
      </c>
      <c r="H421">
        <v>5</v>
      </c>
      <c r="I421" t="s">
        <v>84</v>
      </c>
      <c r="J421">
        <v>1000</v>
      </c>
      <c r="K421" t="s">
        <v>1149</v>
      </c>
      <c r="L421" t="s">
        <v>1150</v>
      </c>
      <c r="M421" t="str">
        <f t="shared" si="19"/>
        <v>Friday</v>
      </c>
    </row>
    <row r="422" spans="1:13" x14ac:dyDescent="0.3">
      <c r="A422" s="4">
        <f t="shared" si="18"/>
        <v>46128</v>
      </c>
      <c r="B422">
        <v>16</v>
      </c>
      <c r="C422" t="s">
        <v>1033</v>
      </c>
      <c r="D422" cm="1">
        <f t="array" ref="D422">_xlfn.SWITCH(C422, "JAN", 1, "FEB", 2, "MAR", 3, "APR", 4,"MAY", 5, "JUN",6, "JUL", 7, "AUG", 8, "SEP", 9, "OCT", 10, "NOV", 11, "DEC", 12, "NO")</f>
        <v>4</v>
      </c>
      <c r="E422">
        <v>2026</v>
      </c>
      <c r="F422" t="s">
        <v>1046</v>
      </c>
      <c r="G422">
        <f t="shared" si="20"/>
        <v>20</v>
      </c>
      <c r="H422">
        <v>26</v>
      </c>
      <c r="I422" t="s">
        <v>84</v>
      </c>
      <c r="J422">
        <v>3860</v>
      </c>
      <c r="K422" t="s">
        <v>1151</v>
      </c>
      <c r="L422" t="s">
        <v>1152</v>
      </c>
      <c r="M422" t="str">
        <f t="shared" si="19"/>
        <v>Thursday</v>
      </c>
    </row>
    <row r="423" spans="1:13" x14ac:dyDescent="0.3">
      <c r="A423" s="4">
        <f t="shared" si="18"/>
        <v>46128</v>
      </c>
      <c r="B423">
        <v>16</v>
      </c>
      <c r="C423" t="s">
        <v>1033</v>
      </c>
      <c r="D423" cm="1">
        <f t="array" ref="D423">_xlfn.SWITCH(C423, "JAN", 1, "FEB", 2, "MAR", 3, "APR", 4,"MAY", 5, "JUN",6, "JUL", 7, "AUG", 8, "SEP", 9, "OCT", 10, "NOV", 11, "DEC", 12, "NO")</f>
        <v>4</v>
      </c>
      <c r="E423">
        <v>2026</v>
      </c>
      <c r="F423" t="s">
        <v>1153</v>
      </c>
      <c r="G423">
        <f t="shared" si="20"/>
        <v>19</v>
      </c>
      <c r="H423">
        <v>53</v>
      </c>
      <c r="I423" t="s">
        <v>12</v>
      </c>
      <c r="J423">
        <v>2860</v>
      </c>
      <c r="K423" t="s">
        <v>1154</v>
      </c>
      <c r="L423" t="s">
        <v>1155</v>
      </c>
      <c r="M423" t="str">
        <f t="shared" si="19"/>
        <v>Thursday</v>
      </c>
    </row>
    <row r="424" spans="1:13" x14ac:dyDescent="0.3">
      <c r="A424" s="4">
        <f t="shared" si="18"/>
        <v>46128</v>
      </c>
      <c r="B424">
        <v>16</v>
      </c>
      <c r="C424" t="s">
        <v>1033</v>
      </c>
      <c r="D424" cm="1">
        <f t="array" ref="D424">_xlfn.SWITCH(C424, "JAN", 1, "FEB", 2, "MAR", 3, "APR", 4,"MAY", 5, "JUN",6, "JUL", 7, "AUG", 8, "SEP", 9, "OCT", 10, "NOV", 11, "DEC", 12, "NO")</f>
        <v>4</v>
      </c>
      <c r="E424">
        <v>2026</v>
      </c>
      <c r="F424" t="s">
        <v>315</v>
      </c>
      <c r="G424">
        <f t="shared" si="20"/>
        <v>18</v>
      </c>
      <c r="H424">
        <v>10</v>
      </c>
      <c r="I424" t="s">
        <v>12</v>
      </c>
      <c r="J424">
        <v>3000</v>
      </c>
      <c r="K424" t="s">
        <v>1156</v>
      </c>
      <c r="L424" t="s">
        <v>1157</v>
      </c>
      <c r="M424" t="str">
        <f t="shared" si="19"/>
        <v>Thursday</v>
      </c>
    </row>
    <row r="425" spans="1:13" x14ac:dyDescent="0.3">
      <c r="A425" s="4">
        <f t="shared" si="18"/>
        <v>46128</v>
      </c>
      <c r="B425">
        <v>16</v>
      </c>
      <c r="C425" t="s">
        <v>1033</v>
      </c>
      <c r="D425" cm="1">
        <f t="array" ref="D425">_xlfn.SWITCH(C425, "JAN", 1, "FEB", 2, "MAR", 3, "APR", 4,"MAY", 5, "JUN",6, "JUL", 7, "AUG", 8, "SEP", 9, "OCT", 10, "NOV", 11, "DEC", 12, "NO")</f>
        <v>4</v>
      </c>
      <c r="E425">
        <v>2026</v>
      </c>
      <c r="F425" t="s">
        <v>1158</v>
      </c>
      <c r="G425">
        <f t="shared" si="20"/>
        <v>12</v>
      </c>
      <c r="H425">
        <v>47</v>
      </c>
      <c r="I425" t="s">
        <v>84</v>
      </c>
      <c r="J425">
        <v>699</v>
      </c>
      <c r="K425" t="s">
        <v>1159</v>
      </c>
      <c r="L425" t="s">
        <v>1160</v>
      </c>
      <c r="M425" t="str">
        <f t="shared" si="19"/>
        <v>Thursday</v>
      </c>
    </row>
    <row r="426" spans="1:13" x14ac:dyDescent="0.3">
      <c r="A426" s="4">
        <f t="shared" si="18"/>
        <v>46127</v>
      </c>
      <c r="B426">
        <v>15</v>
      </c>
      <c r="C426" t="s">
        <v>1033</v>
      </c>
      <c r="D426" cm="1">
        <f t="array" ref="D426">_xlfn.SWITCH(C426, "JAN", 1, "FEB", 2, "MAR", 3, "APR", 4,"MAY", 5, "JUN",6, "JUL", 7, "AUG", 8, "SEP", 9, "OCT", 10, "NOV", 11, "DEC", 12, "NO")</f>
        <v>4</v>
      </c>
      <c r="E426">
        <v>2026</v>
      </c>
      <c r="F426" t="s">
        <v>946</v>
      </c>
      <c r="G426">
        <f t="shared" si="20"/>
        <v>18</v>
      </c>
      <c r="H426">
        <v>18</v>
      </c>
      <c r="I426" t="s">
        <v>84</v>
      </c>
      <c r="J426">
        <v>300</v>
      </c>
      <c r="K426" t="s">
        <v>1161</v>
      </c>
      <c r="L426" t="s">
        <v>1162</v>
      </c>
      <c r="M426" t="str">
        <f t="shared" si="19"/>
        <v>Wednesday</v>
      </c>
    </row>
    <row r="427" spans="1:13" x14ac:dyDescent="0.3">
      <c r="A427" s="4">
        <f t="shared" si="18"/>
        <v>46127</v>
      </c>
      <c r="B427">
        <v>15</v>
      </c>
      <c r="C427" t="s">
        <v>1033</v>
      </c>
      <c r="D427" cm="1">
        <f t="array" ref="D427">_xlfn.SWITCH(C427, "JAN", 1, "FEB", 2, "MAR", 3, "APR", 4,"MAY", 5, "JUN",6, "JUL", 7, "AUG", 8, "SEP", 9, "OCT", 10, "NOV", 11, "DEC", 12, "NO")</f>
        <v>4</v>
      </c>
      <c r="E427">
        <v>2026</v>
      </c>
      <c r="F427" t="s">
        <v>176</v>
      </c>
      <c r="G427">
        <f t="shared" si="20"/>
        <v>18</v>
      </c>
      <c r="H427">
        <v>14</v>
      </c>
      <c r="I427" t="s">
        <v>84</v>
      </c>
      <c r="J427">
        <v>9650</v>
      </c>
      <c r="K427" t="s">
        <v>1163</v>
      </c>
      <c r="L427" t="s">
        <v>1164</v>
      </c>
      <c r="M427" t="str">
        <f t="shared" si="19"/>
        <v>Wednesday</v>
      </c>
    </row>
    <row r="428" spans="1:13" x14ac:dyDescent="0.3">
      <c r="A428" s="4">
        <f t="shared" si="18"/>
        <v>46127</v>
      </c>
      <c r="B428">
        <v>15</v>
      </c>
      <c r="C428" t="s">
        <v>1033</v>
      </c>
      <c r="D428" cm="1">
        <f t="array" ref="D428">_xlfn.SWITCH(C428, "JAN", 1, "FEB", 2, "MAR", 3, "APR", 4,"MAY", 5, "JUN",6, "JUL", 7, "AUG", 8, "SEP", 9, "OCT", 10, "NOV", 11, "DEC", 12, "NO")</f>
        <v>4</v>
      </c>
      <c r="E428">
        <v>2026</v>
      </c>
      <c r="F428" t="s">
        <v>269</v>
      </c>
      <c r="G428">
        <f t="shared" si="20"/>
        <v>18</v>
      </c>
      <c r="H428">
        <v>13</v>
      </c>
      <c r="I428" t="s">
        <v>12</v>
      </c>
      <c r="J428">
        <v>510</v>
      </c>
      <c r="K428" t="s">
        <v>1165</v>
      </c>
      <c r="L428" t="s">
        <v>1166</v>
      </c>
      <c r="M428" t="str">
        <f t="shared" si="19"/>
        <v>Wednesday</v>
      </c>
    </row>
    <row r="429" spans="1:13" x14ac:dyDescent="0.3">
      <c r="A429" s="4">
        <f t="shared" si="18"/>
        <v>46127</v>
      </c>
      <c r="B429">
        <v>15</v>
      </c>
      <c r="C429" t="s">
        <v>1033</v>
      </c>
      <c r="D429" cm="1">
        <f t="array" ref="D429">_xlfn.SWITCH(C429, "JAN", 1, "FEB", 2, "MAR", 3, "APR", 4,"MAY", 5, "JUN",6, "JUL", 7, "AUG", 8, "SEP", 9, "OCT", 10, "NOV", 11, "DEC", 12, "NO")</f>
        <v>4</v>
      </c>
      <c r="E429">
        <v>2026</v>
      </c>
      <c r="F429" t="s">
        <v>731</v>
      </c>
      <c r="G429">
        <f t="shared" si="20"/>
        <v>17</v>
      </c>
      <c r="H429">
        <v>54</v>
      </c>
      <c r="I429" t="s">
        <v>12</v>
      </c>
      <c r="J429">
        <v>6000</v>
      </c>
      <c r="K429" t="s">
        <v>1167</v>
      </c>
      <c r="L429" t="s">
        <v>1168</v>
      </c>
      <c r="M429" t="str">
        <f t="shared" si="19"/>
        <v>Wednesday</v>
      </c>
    </row>
    <row r="430" spans="1:13" x14ac:dyDescent="0.3">
      <c r="A430" s="4">
        <f t="shared" si="18"/>
        <v>46127</v>
      </c>
      <c r="B430">
        <v>15</v>
      </c>
      <c r="C430" t="s">
        <v>1033</v>
      </c>
      <c r="D430" cm="1">
        <f t="array" ref="D430">_xlfn.SWITCH(C430, "JAN", 1, "FEB", 2, "MAR", 3, "APR", 4,"MAY", 5, "JUN",6, "JUL", 7, "AUG", 8, "SEP", 9, "OCT", 10, "NOV", 11, "DEC", 12, "NO")</f>
        <v>4</v>
      </c>
      <c r="E430">
        <v>2026</v>
      </c>
      <c r="F430" t="s">
        <v>1169</v>
      </c>
      <c r="G430">
        <f t="shared" si="20"/>
        <v>7</v>
      </c>
      <c r="H430">
        <v>30</v>
      </c>
      <c r="I430" t="s">
        <v>84</v>
      </c>
      <c r="J430">
        <v>1304</v>
      </c>
      <c r="K430" t="s">
        <v>1170</v>
      </c>
      <c r="L430" t="s">
        <v>1171</v>
      </c>
      <c r="M430" t="str">
        <f t="shared" si="19"/>
        <v>Wednesday</v>
      </c>
    </row>
    <row r="431" spans="1:13" x14ac:dyDescent="0.3">
      <c r="A431" s="4">
        <f t="shared" si="18"/>
        <v>46126</v>
      </c>
      <c r="B431">
        <v>14</v>
      </c>
      <c r="C431" t="s">
        <v>1033</v>
      </c>
      <c r="D431" cm="1">
        <f t="array" ref="D431">_xlfn.SWITCH(C431, "JAN", 1, "FEB", 2, "MAR", 3, "APR", 4,"MAY", 5, "JUN",6, "JUL", 7, "AUG", 8, "SEP", 9, "OCT", 10, "NOV", 11, "DEC", 12, "NO")</f>
        <v>4</v>
      </c>
      <c r="E431">
        <v>2026</v>
      </c>
      <c r="F431" t="s">
        <v>1172</v>
      </c>
      <c r="G431">
        <f t="shared" si="20"/>
        <v>20</v>
      </c>
      <c r="H431">
        <v>56</v>
      </c>
      <c r="I431" t="s">
        <v>84</v>
      </c>
      <c r="J431">
        <v>2889</v>
      </c>
      <c r="K431" t="s">
        <v>1173</v>
      </c>
      <c r="L431" t="s">
        <v>1174</v>
      </c>
      <c r="M431" t="str">
        <f t="shared" si="19"/>
        <v>Tuesday</v>
      </c>
    </row>
    <row r="432" spans="1:13" x14ac:dyDescent="0.3">
      <c r="A432" s="4">
        <f t="shared" si="18"/>
        <v>46126</v>
      </c>
      <c r="B432">
        <v>14</v>
      </c>
      <c r="C432" t="s">
        <v>1033</v>
      </c>
      <c r="D432" cm="1">
        <f t="array" ref="D432">_xlfn.SWITCH(C432, "JAN", 1, "FEB", 2, "MAR", 3, "APR", 4,"MAY", 5, "JUN",6, "JUL", 7, "AUG", 8, "SEP", 9, "OCT", 10, "NOV", 11, "DEC", 12, "NO")</f>
        <v>4</v>
      </c>
      <c r="E432">
        <v>2026</v>
      </c>
      <c r="F432" t="s">
        <v>99</v>
      </c>
      <c r="G432">
        <f t="shared" si="20"/>
        <v>17</v>
      </c>
      <c r="H432">
        <v>55</v>
      </c>
      <c r="I432" t="s">
        <v>12</v>
      </c>
      <c r="J432">
        <v>1000</v>
      </c>
      <c r="K432" t="s">
        <v>1175</v>
      </c>
      <c r="L432" t="s">
        <v>1176</v>
      </c>
      <c r="M432" t="str">
        <f t="shared" si="19"/>
        <v>Tuesday</v>
      </c>
    </row>
    <row r="433" spans="1:13" x14ac:dyDescent="0.3">
      <c r="A433" s="4">
        <f t="shared" si="18"/>
        <v>46126</v>
      </c>
      <c r="B433">
        <v>14</v>
      </c>
      <c r="C433" t="s">
        <v>1033</v>
      </c>
      <c r="D433" cm="1">
        <f t="array" ref="D433">_xlfn.SWITCH(C433, "JAN", 1, "FEB", 2, "MAR", 3, "APR", 4,"MAY", 5, "JUN",6, "JUL", 7, "AUG", 8, "SEP", 9, "OCT", 10, "NOV", 11, "DEC", 12, "NO")</f>
        <v>4</v>
      </c>
      <c r="E433">
        <v>2026</v>
      </c>
      <c r="F433" t="s">
        <v>325</v>
      </c>
      <c r="G433">
        <f t="shared" si="20"/>
        <v>17</v>
      </c>
      <c r="H433">
        <v>25</v>
      </c>
      <c r="I433" t="s">
        <v>12</v>
      </c>
      <c r="J433">
        <v>5030</v>
      </c>
      <c r="K433" t="s">
        <v>1177</v>
      </c>
      <c r="L433" t="s">
        <v>1178</v>
      </c>
      <c r="M433" t="str">
        <f t="shared" si="19"/>
        <v>Tuesday</v>
      </c>
    </row>
    <row r="434" spans="1:13" x14ac:dyDescent="0.3">
      <c r="A434" s="4">
        <f t="shared" si="18"/>
        <v>46126</v>
      </c>
      <c r="B434">
        <v>14</v>
      </c>
      <c r="C434" t="s">
        <v>1033</v>
      </c>
      <c r="D434" cm="1">
        <f t="array" ref="D434">_xlfn.SWITCH(C434, "JAN", 1, "FEB", 2, "MAR", 3, "APR", 4,"MAY", 5, "JUN",6, "JUL", 7, "AUG", 8, "SEP", 9, "OCT", 10, "NOV", 11, "DEC", 12, "NO")</f>
        <v>4</v>
      </c>
      <c r="E434">
        <v>2026</v>
      </c>
      <c r="F434" t="s">
        <v>1179</v>
      </c>
      <c r="G434">
        <f t="shared" si="20"/>
        <v>9</v>
      </c>
      <c r="H434">
        <v>55</v>
      </c>
      <c r="I434" t="s">
        <v>84</v>
      </c>
      <c r="J434">
        <v>500</v>
      </c>
      <c r="K434" t="s">
        <v>1180</v>
      </c>
      <c r="L434" t="s">
        <v>1181</v>
      </c>
      <c r="M434" t="str">
        <f t="shared" si="19"/>
        <v>Tuesday</v>
      </c>
    </row>
    <row r="435" spans="1:13" x14ac:dyDescent="0.3">
      <c r="A435" s="4">
        <f t="shared" si="18"/>
        <v>46125</v>
      </c>
      <c r="B435">
        <v>13</v>
      </c>
      <c r="C435" t="s">
        <v>1033</v>
      </c>
      <c r="D435" cm="1">
        <f t="array" ref="D435">_xlfn.SWITCH(C435, "JAN", 1, "FEB", 2, "MAR", 3, "APR", 4,"MAY", 5, "JUN",6, "JUL", 7, "AUG", 8, "SEP", 9, "OCT", 10, "NOV", 11, "DEC", 12, "NO")</f>
        <v>4</v>
      </c>
      <c r="E435">
        <v>2026</v>
      </c>
      <c r="F435" t="s">
        <v>750</v>
      </c>
      <c r="G435">
        <f t="shared" si="20"/>
        <v>16</v>
      </c>
      <c r="H435">
        <v>37</v>
      </c>
      <c r="I435" t="s">
        <v>12</v>
      </c>
      <c r="J435">
        <v>2000</v>
      </c>
      <c r="K435" t="s">
        <v>1182</v>
      </c>
      <c r="L435" t="s">
        <v>1183</v>
      </c>
      <c r="M435" t="str">
        <f t="shared" si="19"/>
        <v>Monday</v>
      </c>
    </row>
    <row r="436" spans="1:13" x14ac:dyDescent="0.3">
      <c r="A436" s="4">
        <f t="shared" si="18"/>
        <v>46125</v>
      </c>
      <c r="B436">
        <v>13</v>
      </c>
      <c r="C436" t="s">
        <v>1033</v>
      </c>
      <c r="D436" cm="1">
        <f t="array" ref="D436">_xlfn.SWITCH(C436, "JAN", 1, "FEB", 2, "MAR", 3, "APR", 4,"MAY", 5, "JUN",6, "JUL", 7, "AUG", 8, "SEP", 9, "OCT", 10, "NOV", 11, "DEC", 12, "NO")</f>
        <v>4</v>
      </c>
      <c r="E436">
        <v>2026</v>
      </c>
      <c r="F436" t="s">
        <v>1184</v>
      </c>
      <c r="G436">
        <f t="shared" si="20"/>
        <v>11</v>
      </c>
      <c r="H436">
        <v>57</v>
      </c>
      <c r="I436" t="s">
        <v>84</v>
      </c>
      <c r="J436">
        <v>355</v>
      </c>
      <c r="K436" t="s">
        <v>1185</v>
      </c>
      <c r="L436" t="s">
        <v>1186</v>
      </c>
      <c r="M436" t="str">
        <f t="shared" si="19"/>
        <v>Monday</v>
      </c>
    </row>
    <row r="437" spans="1:13" x14ac:dyDescent="0.3">
      <c r="A437" s="4">
        <f t="shared" si="18"/>
        <v>46125</v>
      </c>
      <c r="B437">
        <v>13</v>
      </c>
      <c r="C437" t="s">
        <v>1033</v>
      </c>
      <c r="D437" cm="1">
        <f t="array" ref="D437">_xlfn.SWITCH(C437, "JAN", 1, "FEB", 2, "MAR", 3, "APR", 4,"MAY", 5, "JUN",6, "JUL", 7, "AUG", 8, "SEP", 9, "OCT", 10, "NOV", 11, "DEC", 12, "NO")</f>
        <v>4</v>
      </c>
      <c r="E437">
        <v>2026</v>
      </c>
      <c r="F437" t="s">
        <v>1187</v>
      </c>
      <c r="G437">
        <f t="shared" si="20"/>
        <v>9</v>
      </c>
      <c r="H437">
        <v>8</v>
      </c>
      <c r="I437" t="s">
        <v>12</v>
      </c>
      <c r="J437">
        <v>2000</v>
      </c>
      <c r="K437" t="s">
        <v>1188</v>
      </c>
      <c r="L437" t="s">
        <v>1189</v>
      </c>
      <c r="M437" t="str">
        <f t="shared" si="19"/>
        <v>Monday</v>
      </c>
    </row>
    <row r="438" spans="1:13" x14ac:dyDescent="0.3">
      <c r="A438" s="4">
        <f t="shared" si="18"/>
        <v>46124</v>
      </c>
      <c r="B438">
        <v>12</v>
      </c>
      <c r="C438" t="s">
        <v>1033</v>
      </c>
      <c r="D438" cm="1">
        <f t="array" ref="D438">_xlfn.SWITCH(C438, "JAN", 1, "FEB", 2, "MAR", 3, "APR", 4,"MAY", 5, "JUN",6, "JUL", 7, "AUG", 8, "SEP", 9, "OCT", 10, "NOV", 11, "DEC", 12, "NO")</f>
        <v>4</v>
      </c>
      <c r="E438">
        <v>2026</v>
      </c>
      <c r="F438" t="s">
        <v>1190</v>
      </c>
      <c r="G438">
        <f t="shared" si="20"/>
        <v>16</v>
      </c>
      <c r="H438">
        <v>26</v>
      </c>
      <c r="I438" t="s">
        <v>84</v>
      </c>
      <c r="J438">
        <v>2000</v>
      </c>
      <c r="K438" t="s">
        <v>1191</v>
      </c>
      <c r="L438" t="s">
        <v>1192</v>
      </c>
      <c r="M438" t="str">
        <f t="shared" si="19"/>
        <v>Sunday</v>
      </c>
    </row>
    <row r="439" spans="1:13" x14ac:dyDescent="0.3">
      <c r="A439" s="4">
        <f t="shared" si="18"/>
        <v>46122</v>
      </c>
      <c r="B439">
        <v>10</v>
      </c>
      <c r="C439" t="s">
        <v>1033</v>
      </c>
      <c r="D439" cm="1">
        <f t="array" ref="D439">_xlfn.SWITCH(C439, "JAN", 1, "FEB", 2, "MAR", 3, "APR", 4,"MAY", 5, "JUN",6, "JUL", 7, "AUG", 8, "SEP", 9, "OCT", 10, "NOV", 11, "DEC", 12, "NO")</f>
        <v>4</v>
      </c>
      <c r="E439">
        <v>2026</v>
      </c>
      <c r="F439" t="s">
        <v>1193</v>
      </c>
      <c r="G439">
        <f t="shared" si="20"/>
        <v>7</v>
      </c>
      <c r="H439">
        <v>40</v>
      </c>
      <c r="I439" t="s">
        <v>84</v>
      </c>
      <c r="J439">
        <v>500</v>
      </c>
      <c r="K439" t="s">
        <v>1194</v>
      </c>
      <c r="L439" t="s">
        <v>1195</v>
      </c>
      <c r="M439" t="str">
        <f t="shared" si="19"/>
        <v>Friday</v>
      </c>
    </row>
    <row r="440" spans="1:13" x14ac:dyDescent="0.3">
      <c r="A440" s="4">
        <f t="shared" si="18"/>
        <v>46119</v>
      </c>
      <c r="B440">
        <v>7</v>
      </c>
      <c r="C440" t="s">
        <v>1033</v>
      </c>
      <c r="D440" cm="1">
        <f t="array" ref="D440">_xlfn.SWITCH(C440, "JAN", 1, "FEB", 2, "MAR", 3, "APR", 4,"MAY", 5, "JUN",6, "JUL", 7, "AUG", 8, "SEP", 9, "OCT", 10, "NOV", 11, "DEC", 12, "NO")</f>
        <v>4</v>
      </c>
      <c r="E440">
        <v>2026</v>
      </c>
      <c r="F440" t="s">
        <v>1124</v>
      </c>
      <c r="G440">
        <f t="shared" si="20"/>
        <v>15</v>
      </c>
      <c r="H440">
        <v>16</v>
      </c>
      <c r="I440" t="s">
        <v>84</v>
      </c>
      <c r="J440">
        <v>1500</v>
      </c>
      <c r="K440" t="s">
        <v>1196</v>
      </c>
      <c r="L440" t="s">
        <v>1197</v>
      </c>
      <c r="M440" t="str">
        <f t="shared" si="19"/>
        <v>Tuesday</v>
      </c>
    </row>
    <row r="441" spans="1:13" x14ac:dyDescent="0.3">
      <c r="A441" s="4">
        <f t="shared" si="18"/>
        <v>46118</v>
      </c>
      <c r="B441">
        <v>6</v>
      </c>
      <c r="C441" t="s">
        <v>1033</v>
      </c>
      <c r="D441" cm="1">
        <f t="array" ref="D441">_xlfn.SWITCH(C441, "JAN", 1, "FEB", 2, "MAR", 3, "APR", 4,"MAY", 5, "JUN",6, "JUL", 7, "AUG", 8, "SEP", 9, "OCT", 10, "NOV", 11, "DEC", 12, "NO")</f>
        <v>4</v>
      </c>
      <c r="E441">
        <v>2026</v>
      </c>
      <c r="F441" t="s">
        <v>1198</v>
      </c>
      <c r="G441">
        <f t="shared" si="20"/>
        <v>19</v>
      </c>
      <c r="H441">
        <v>39</v>
      </c>
      <c r="I441" t="s">
        <v>84</v>
      </c>
      <c r="J441">
        <v>1500</v>
      </c>
      <c r="K441" t="s">
        <v>1199</v>
      </c>
      <c r="L441" t="s">
        <v>1200</v>
      </c>
      <c r="M441" t="str">
        <f t="shared" si="19"/>
        <v>Monday</v>
      </c>
    </row>
    <row r="442" spans="1:13" x14ac:dyDescent="0.3">
      <c r="A442" s="4">
        <f t="shared" si="18"/>
        <v>46118</v>
      </c>
      <c r="B442">
        <v>6</v>
      </c>
      <c r="C442" t="s">
        <v>1033</v>
      </c>
      <c r="D442" cm="1">
        <f t="array" ref="D442">_xlfn.SWITCH(C442, "JAN", 1, "FEB", 2, "MAR", 3, "APR", 4,"MAY", 5, "JUN",6, "JUL", 7, "AUG", 8, "SEP", 9, "OCT", 10, "NOV", 11, "DEC", 12, "NO")</f>
        <v>4</v>
      </c>
      <c r="E442">
        <v>2026</v>
      </c>
      <c r="F442" t="s">
        <v>1201</v>
      </c>
      <c r="G442">
        <f t="shared" si="20"/>
        <v>15</v>
      </c>
      <c r="H442">
        <v>41</v>
      </c>
      <c r="I442" t="s">
        <v>84</v>
      </c>
      <c r="J442">
        <v>1200</v>
      </c>
      <c r="K442" t="s">
        <v>1202</v>
      </c>
      <c r="L442" t="s">
        <v>1203</v>
      </c>
      <c r="M442" t="str">
        <f t="shared" si="19"/>
        <v>Monday</v>
      </c>
    </row>
    <row r="443" spans="1:13" x14ac:dyDescent="0.3">
      <c r="A443" s="4">
        <f t="shared" si="18"/>
        <v>46116</v>
      </c>
      <c r="B443">
        <v>4</v>
      </c>
      <c r="C443" t="s">
        <v>1033</v>
      </c>
      <c r="D443" cm="1">
        <f t="array" ref="D443">_xlfn.SWITCH(C443, "JAN", 1, "FEB", 2, "MAR", 3, "APR", 4,"MAY", 5, "JUN",6, "JUL", 7, "AUG", 8, "SEP", 9, "OCT", 10, "NOV", 11, "DEC", 12, "NO")</f>
        <v>4</v>
      </c>
      <c r="E443">
        <v>2026</v>
      </c>
      <c r="F443" t="s">
        <v>1204</v>
      </c>
      <c r="G443">
        <f t="shared" si="20"/>
        <v>20</v>
      </c>
      <c r="H443">
        <v>36</v>
      </c>
      <c r="I443" t="s">
        <v>84</v>
      </c>
      <c r="J443">
        <v>500</v>
      </c>
      <c r="K443" t="s">
        <v>1205</v>
      </c>
      <c r="L443" t="s">
        <v>1206</v>
      </c>
      <c r="M443" t="str">
        <f t="shared" si="19"/>
        <v>Saturday</v>
      </c>
    </row>
    <row r="444" spans="1:13" x14ac:dyDescent="0.3">
      <c r="A444" s="4">
        <f t="shared" si="18"/>
        <v>46116</v>
      </c>
      <c r="B444">
        <v>4</v>
      </c>
      <c r="C444" t="s">
        <v>1033</v>
      </c>
      <c r="D444" cm="1">
        <f t="array" ref="D444">_xlfn.SWITCH(C444, "JAN", 1, "FEB", 2, "MAR", 3, "APR", 4,"MAY", 5, "JUN",6, "JUL", 7, "AUG", 8, "SEP", 9, "OCT", 10, "NOV", 11, "DEC", 12, "NO")</f>
        <v>4</v>
      </c>
      <c r="E444">
        <v>2026</v>
      </c>
      <c r="F444" t="s">
        <v>441</v>
      </c>
      <c r="G444">
        <f t="shared" si="20"/>
        <v>20</v>
      </c>
      <c r="H444">
        <v>3</v>
      </c>
      <c r="I444" t="s">
        <v>12</v>
      </c>
      <c r="J444">
        <v>6000</v>
      </c>
      <c r="K444" t="s">
        <v>1207</v>
      </c>
      <c r="L444" t="s">
        <v>1208</v>
      </c>
      <c r="M444" t="str">
        <f t="shared" si="19"/>
        <v>Saturday</v>
      </c>
    </row>
    <row r="445" spans="1:13" x14ac:dyDescent="0.3">
      <c r="A445" s="4">
        <f t="shared" si="18"/>
        <v>46114</v>
      </c>
      <c r="B445">
        <v>2</v>
      </c>
      <c r="C445" t="s">
        <v>1033</v>
      </c>
      <c r="D445" cm="1">
        <f t="array" ref="D445">_xlfn.SWITCH(C445, "JAN", 1, "FEB", 2, "MAR", 3, "APR", 4,"MAY", 5, "JUN",6, "JUL", 7, "AUG", 8, "SEP", 9, "OCT", 10, "NOV", 11, "DEC", 12, "NO")</f>
        <v>4</v>
      </c>
      <c r="E445">
        <v>2026</v>
      </c>
      <c r="F445" t="s">
        <v>381</v>
      </c>
      <c r="G445">
        <f t="shared" si="20"/>
        <v>19</v>
      </c>
      <c r="H445">
        <v>23</v>
      </c>
      <c r="I445" t="s">
        <v>12</v>
      </c>
      <c r="J445">
        <v>175</v>
      </c>
      <c r="K445" t="s">
        <v>1209</v>
      </c>
      <c r="L445" t="s">
        <v>1210</v>
      </c>
      <c r="M445" t="str">
        <f t="shared" si="19"/>
        <v>Thursday</v>
      </c>
    </row>
    <row r="446" spans="1:13" x14ac:dyDescent="0.3">
      <c r="A446" s="4">
        <f t="shared" si="18"/>
        <v>46113</v>
      </c>
      <c r="B446">
        <v>1</v>
      </c>
      <c r="C446" t="s">
        <v>1033</v>
      </c>
      <c r="D446" cm="1">
        <f t="array" ref="D446">_xlfn.SWITCH(C446, "JAN", 1, "FEB", 2, "MAR", 3, "APR", 4,"MAY", 5, "JUN",6, "JUL", 7, "AUG", 8, "SEP", 9, "OCT", 10, "NOV", 11, "DEC", 12, "NO")</f>
        <v>4</v>
      </c>
      <c r="E446">
        <v>2026</v>
      </c>
      <c r="F446" t="s">
        <v>1211</v>
      </c>
      <c r="G446">
        <f t="shared" si="20"/>
        <v>19</v>
      </c>
      <c r="H446">
        <v>15</v>
      </c>
      <c r="I446" t="s">
        <v>84</v>
      </c>
      <c r="J446">
        <v>4825</v>
      </c>
      <c r="K446" t="s">
        <v>1212</v>
      </c>
      <c r="L446" t="s">
        <v>1213</v>
      </c>
      <c r="M446" t="str">
        <f t="shared" si="19"/>
        <v>Wednesday</v>
      </c>
    </row>
    <row r="447" spans="1:13" x14ac:dyDescent="0.3">
      <c r="A447" s="4">
        <f t="shared" si="18"/>
        <v>46112</v>
      </c>
      <c r="B447">
        <v>31</v>
      </c>
      <c r="C447" t="s">
        <v>1214</v>
      </c>
      <c r="D447" cm="1">
        <f t="array" ref="D447">_xlfn.SWITCH(C447, "JAN", 1, "FEB", 2, "MAR", 3, "APR", 4,"MAY", 5, "JUN",6, "JUL", 7, "AUG", 8, "SEP", 9, "OCT", 10, "NOV", 11, "DEC", 12, "NO")</f>
        <v>3</v>
      </c>
      <c r="E447">
        <v>2026</v>
      </c>
      <c r="F447" t="s">
        <v>1215</v>
      </c>
      <c r="G447">
        <f t="shared" si="20"/>
        <v>20</v>
      </c>
      <c r="H447">
        <v>6</v>
      </c>
      <c r="I447" t="s">
        <v>84</v>
      </c>
      <c r="J447">
        <v>29915</v>
      </c>
      <c r="K447" t="s">
        <v>1216</v>
      </c>
      <c r="L447" t="s">
        <v>1217</v>
      </c>
      <c r="M447" t="str">
        <f t="shared" si="19"/>
        <v>Tuesday</v>
      </c>
    </row>
    <row r="448" spans="1:13" x14ac:dyDescent="0.3">
      <c r="A448" s="4">
        <f t="shared" si="18"/>
        <v>46112</v>
      </c>
      <c r="B448">
        <v>31</v>
      </c>
      <c r="C448" t="s">
        <v>1214</v>
      </c>
      <c r="D448" cm="1">
        <f t="array" ref="D448">_xlfn.SWITCH(C448, "JAN", 1, "FEB", 2, "MAR", 3, "APR", 4,"MAY", 5, "JUN",6, "JUL", 7, "AUG", 8, "SEP", 9, "OCT", 10, "NOV", 11, "DEC", 12, "NO")</f>
        <v>3</v>
      </c>
      <c r="E448">
        <v>2026</v>
      </c>
      <c r="F448" t="s">
        <v>1218</v>
      </c>
      <c r="G448">
        <f t="shared" si="20"/>
        <v>20</v>
      </c>
      <c r="H448">
        <v>5</v>
      </c>
      <c r="I448" t="s">
        <v>12</v>
      </c>
      <c r="J448">
        <v>25</v>
      </c>
      <c r="K448" t="s">
        <v>1219</v>
      </c>
      <c r="L448" t="s">
        <v>1220</v>
      </c>
      <c r="M448" t="str">
        <f t="shared" si="19"/>
        <v>Tuesday</v>
      </c>
    </row>
    <row r="449" spans="1:13" x14ac:dyDescent="0.3">
      <c r="A449" s="4">
        <f t="shared" si="18"/>
        <v>46112</v>
      </c>
      <c r="B449">
        <v>31</v>
      </c>
      <c r="C449" t="s">
        <v>1214</v>
      </c>
      <c r="D449" cm="1">
        <f t="array" ref="D449">_xlfn.SWITCH(C449, "JAN", 1, "FEB", 2, "MAR", 3, "APR", 4,"MAY", 5, "JUN",6, "JUL", 7, "AUG", 8, "SEP", 9, "OCT", 10, "NOV", 11, "DEC", 12, "NO")</f>
        <v>3</v>
      </c>
      <c r="E449">
        <v>2026</v>
      </c>
      <c r="F449" t="s">
        <v>1221</v>
      </c>
      <c r="G449">
        <f t="shared" si="20"/>
        <v>19</v>
      </c>
      <c r="H449">
        <v>31</v>
      </c>
      <c r="I449" t="s">
        <v>12</v>
      </c>
      <c r="J449">
        <v>11500</v>
      </c>
      <c r="K449" t="s">
        <v>1222</v>
      </c>
      <c r="L449" t="s">
        <v>1223</v>
      </c>
      <c r="M449" t="str">
        <f t="shared" si="19"/>
        <v>Tuesday</v>
      </c>
    </row>
    <row r="450" spans="1:13" x14ac:dyDescent="0.3">
      <c r="A450" s="4">
        <f t="shared" ref="A450:A513" si="21">DATE(E450, D450, B450)</f>
        <v>46112</v>
      </c>
      <c r="B450">
        <v>31</v>
      </c>
      <c r="C450" t="s">
        <v>1214</v>
      </c>
      <c r="D450" cm="1">
        <f t="array" ref="D450">_xlfn.SWITCH(C450, "JAN", 1, "FEB", 2, "MAR", 3, "APR", 4,"MAY", 5, "JUN",6, "JUL", 7, "AUG", 8, "SEP", 9, "OCT", 10, "NOV", 11, "DEC", 12, "NO")</f>
        <v>3</v>
      </c>
      <c r="E450">
        <v>2026</v>
      </c>
      <c r="F450" t="s">
        <v>1224</v>
      </c>
      <c r="G450">
        <f t="shared" si="20"/>
        <v>19</v>
      </c>
      <c r="H450">
        <v>19</v>
      </c>
      <c r="I450" t="s">
        <v>12</v>
      </c>
      <c r="J450">
        <v>100</v>
      </c>
      <c r="K450" t="s">
        <v>1225</v>
      </c>
      <c r="L450" t="s">
        <v>1226</v>
      </c>
      <c r="M450" t="str">
        <f t="shared" ref="M450:M513" si="22">TEXT(A450, "DDDD")</f>
        <v>Tuesday</v>
      </c>
    </row>
    <row r="451" spans="1:13" x14ac:dyDescent="0.3">
      <c r="A451" s="4">
        <f t="shared" si="21"/>
        <v>46112</v>
      </c>
      <c r="B451">
        <v>31</v>
      </c>
      <c r="C451" t="s">
        <v>1214</v>
      </c>
      <c r="D451" cm="1">
        <f t="array" ref="D451">_xlfn.SWITCH(C451, "JAN", 1, "FEB", 2, "MAR", 3, "APR", 4,"MAY", 5, "JUN",6, "JUL", 7, "AUG", 8, "SEP", 9, "OCT", 10, "NOV", 11, "DEC", 12, "NO")</f>
        <v>3</v>
      </c>
      <c r="E451">
        <v>2026</v>
      </c>
      <c r="F451" t="s">
        <v>1227</v>
      </c>
      <c r="G451">
        <f t="shared" ref="G451:G514" si="23">HOUR(F451)</f>
        <v>19</v>
      </c>
      <c r="H451">
        <v>14</v>
      </c>
      <c r="I451" t="s">
        <v>12</v>
      </c>
      <c r="J451">
        <v>8845</v>
      </c>
      <c r="K451" t="s">
        <v>1228</v>
      </c>
      <c r="L451" t="s">
        <v>1229</v>
      </c>
      <c r="M451" t="str">
        <f t="shared" si="22"/>
        <v>Tuesday</v>
      </c>
    </row>
    <row r="452" spans="1:13" x14ac:dyDescent="0.3">
      <c r="A452" s="4">
        <f t="shared" si="21"/>
        <v>46112</v>
      </c>
      <c r="B452">
        <v>31</v>
      </c>
      <c r="C452" t="s">
        <v>1214</v>
      </c>
      <c r="D452" cm="1">
        <f t="array" ref="D452">_xlfn.SWITCH(C452, "JAN", 1, "FEB", 2, "MAR", 3, "APR", 4,"MAY", 5, "JUN",6, "JUL", 7, "AUG", 8, "SEP", 9, "OCT", 10, "NOV", 11, "DEC", 12, "NO")</f>
        <v>3</v>
      </c>
      <c r="E452">
        <v>2026</v>
      </c>
      <c r="F452" t="s">
        <v>306</v>
      </c>
      <c r="G452">
        <f t="shared" si="23"/>
        <v>19</v>
      </c>
      <c r="H452">
        <v>12</v>
      </c>
      <c r="I452" t="s">
        <v>12</v>
      </c>
      <c r="J452">
        <v>6445</v>
      </c>
      <c r="K452" t="s">
        <v>1230</v>
      </c>
      <c r="L452" t="s">
        <v>1231</v>
      </c>
      <c r="M452" t="str">
        <f t="shared" si="22"/>
        <v>Tuesday</v>
      </c>
    </row>
    <row r="453" spans="1:13" x14ac:dyDescent="0.3">
      <c r="A453" s="4">
        <f t="shared" si="21"/>
        <v>46112</v>
      </c>
      <c r="B453">
        <v>31</v>
      </c>
      <c r="C453" t="s">
        <v>1214</v>
      </c>
      <c r="D453" cm="1">
        <f t="array" ref="D453">_xlfn.SWITCH(C453, "JAN", 1, "FEB", 2, "MAR", 3, "APR", 4,"MAY", 5, "JUN",6, "JUL", 7, "AUG", 8, "SEP", 9, "OCT", 10, "NOV", 11, "DEC", 12, "NO")</f>
        <v>3</v>
      </c>
      <c r="E453">
        <v>2026</v>
      </c>
      <c r="F453" t="s">
        <v>843</v>
      </c>
      <c r="G453">
        <f t="shared" si="23"/>
        <v>13</v>
      </c>
      <c r="H453">
        <v>36</v>
      </c>
      <c r="I453" t="s">
        <v>12</v>
      </c>
      <c r="J453">
        <v>3000</v>
      </c>
      <c r="K453" t="s">
        <v>1232</v>
      </c>
      <c r="L453" t="s">
        <v>1233</v>
      </c>
      <c r="M453" t="str">
        <f t="shared" si="22"/>
        <v>Tuesday</v>
      </c>
    </row>
    <row r="454" spans="1:13" x14ac:dyDescent="0.3">
      <c r="A454" s="4">
        <f t="shared" si="21"/>
        <v>46111</v>
      </c>
      <c r="B454">
        <v>30</v>
      </c>
      <c r="C454" t="s">
        <v>1214</v>
      </c>
      <c r="D454" cm="1">
        <f t="array" ref="D454">_xlfn.SWITCH(C454, "JAN", 1, "FEB", 2, "MAR", 3, "APR", 4,"MAY", 5, "JUN",6, "JUL", 7, "AUG", 8, "SEP", 9, "OCT", 10, "NOV", 11, "DEC", 12, "NO")</f>
        <v>3</v>
      </c>
      <c r="E454">
        <v>2026</v>
      </c>
      <c r="F454" t="s">
        <v>1234</v>
      </c>
      <c r="G454">
        <f t="shared" si="23"/>
        <v>11</v>
      </c>
      <c r="H454">
        <v>6</v>
      </c>
      <c r="I454" t="s">
        <v>84</v>
      </c>
      <c r="J454">
        <v>70</v>
      </c>
      <c r="K454" t="s">
        <v>1235</v>
      </c>
      <c r="L454" t="s">
        <v>1236</v>
      </c>
      <c r="M454" t="str">
        <f t="shared" si="22"/>
        <v>Monday</v>
      </c>
    </row>
    <row r="455" spans="1:13" x14ac:dyDescent="0.3">
      <c r="A455" s="4">
        <f t="shared" si="21"/>
        <v>46109</v>
      </c>
      <c r="B455">
        <v>28</v>
      </c>
      <c r="C455" t="s">
        <v>1214</v>
      </c>
      <c r="D455" cm="1">
        <f t="array" ref="D455">_xlfn.SWITCH(C455, "JAN", 1, "FEB", 2, "MAR", 3, "APR", 4,"MAY", 5, "JUN",6, "JUL", 7, "AUG", 8, "SEP", 9, "OCT", 10, "NOV", 11, "DEC", 12, "NO")</f>
        <v>3</v>
      </c>
      <c r="E455">
        <v>2026</v>
      </c>
      <c r="F455" t="s">
        <v>325</v>
      </c>
      <c r="G455">
        <f t="shared" si="23"/>
        <v>17</v>
      </c>
      <c r="H455">
        <v>25</v>
      </c>
      <c r="I455" t="s">
        <v>12</v>
      </c>
      <c r="J455">
        <v>1000</v>
      </c>
      <c r="K455" t="s">
        <v>1237</v>
      </c>
      <c r="L455" t="s">
        <v>1238</v>
      </c>
      <c r="M455" t="str">
        <f t="shared" si="22"/>
        <v>Saturday</v>
      </c>
    </row>
    <row r="456" spans="1:13" x14ac:dyDescent="0.3">
      <c r="A456" s="4">
        <f t="shared" si="21"/>
        <v>46108</v>
      </c>
      <c r="B456">
        <v>27</v>
      </c>
      <c r="C456" t="s">
        <v>1214</v>
      </c>
      <c r="D456" cm="1">
        <f t="array" ref="D456">_xlfn.SWITCH(C456, "JAN", 1, "FEB", 2, "MAR", 3, "APR", 4,"MAY", 5, "JUN",6, "JUL", 7, "AUG", 8, "SEP", 9, "OCT", 10, "NOV", 11, "DEC", 12, "NO")</f>
        <v>3</v>
      </c>
      <c r="E456">
        <v>2026</v>
      </c>
      <c r="F456" t="s">
        <v>1239</v>
      </c>
      <c r="G456">
        <f t="shared" si="23"/>
        <v>21</v>
      </c>
      <c r="H456">
        <v>11</v>
      </c>
      <c r="I456" t="s">
        <v>12</v>
      </c>
      <c r="J456">
        <v>500</v>
      </c>
      <c r="K456" t="s">
        <v>1240</v>
      </c>
      <c r="L456" t="s">
        <v>1241</v>
      </c>
      <c r="M456" t="str">
        <f t="shared" si="22"/>
        <v>Friday</v>
      </c>
    </row>
    <row r="457" spans="1:13" x14ac:dyDescent="0.3">
      <c r="A457" s="4">
        <f t="shared" si="21"/>
        <v>46108</v>
      </c>
      <c r="B457">
        <v>27</v>
      </c>
      <c r="C457" t="s">
        <v>1214</v>
      </c>
      <c r="D457" cm="1">
        <f t="array" ref="D457">_xlfn.SWITCH(C457, "JAN", 1, "FEB", 2, "MAR", 3, "APR", 4,"MAY", 5, "JUN",6, "JUL", 7, "AUG", 8, "SEP", 9, "OCT", 10, "NOV", 11, "DEC", 12, "NO")</f>
        <v>3</v>
      </c>
      <c r="E457">
        <v>2026</v>
      </c>
      <c r="F457" t="s">
        <v>1242</v>
      </c>
      <c r="G457">
        <f t="shared" si="23"/>
        <v>20</v>
      </c>
      <c r="H457">
        <v>8</v>
      </c>
      <c r="I457" t="s">
        <v>84</v>
      </c>
      <c r="J457">
        <v>3500</v>
      </c>
      <c r="K457" t="s">
        <v>1243</v>
      </c>
      <c r="L457" t="s">
        <v>1244</v>
      </c>
      <c r="M457" t="str">
        <f t="shared" si="22"/>
        <v>Friday</v>
      </c>
    </row>
    <row r="458" spans="1:13" x14ac:dyDescent="0.3">
      <c r="A458" s="4">
        <f t="shared" si="21"/>
        <v>46108</v>
      </c>
      <c r="B458">
        <v>27</v>
      </c>
      <c r="C458" t="s">
        <v>1214</v>
      </c>
      <c r="D458" cm="1">
        <f t="array" ref="D458">_xlfn.SWITCH(C458, "JAN", 1, "FEB", 2, "MAR", 3, "APR", 4,"MAY", 5, "JUN",6, "JUL", 7, "AUG", 8, "SEP", 9, "OCT", 10, "NOV", 11, "DEC", 12, "NO")</f>
        <v>3</v>
      </c>
      <c r="E458">
        <v>2026</v>
      </c>
      <c r="F458" t="s">
        <v>658</v>
      </c>
      <c r="G458">
        <f t="shared" si="23"/>
        <v>18</v>
      </c>
      <c r="H458">
        <v>49</v>
      </c>
      <c r="I458" t="s">
        <v>12</v>
      </c>
      <c r="J458">
        <v>3000</v>
      </c>
      <c r="K458" t="s">
        <v>1245</v>
      </c>
      <c r="L458" t="s">
        <v>1246</v>
      </c>
      <c r="M458" t="str">
        <f t="shared" si="22"/>
        <v>Friday</v>
      </c>
    </row>
    <row r="459" spans="1:13" x14ac:dyDescent="0.3">
      <c r="A459" s="4">
        <f t="shared" si="21"/>
        <v>46103</v>
      </c>
      <c r="B459">
        <v>22</v>
      </c>
      <c r="C459" t="s">
        <v>1214</v>
      </c>
      <c r="D459" cm="1">
        <f t="array" ref="D459">_xlfn.SWITCH(C459, "JAN", 1, "FEB", 2, "MAR", 3, "APR", 4,"MAY", 5, "JUN",6, "JUL", 7, "AUG", 8, "SEP", 9, "OCT", 10, "NOV", 11, "DEC", 12, "NO")</f>
        <v>3</v>
      </c>
      <c r="E459">
        <v>2026</v>
      </c>
      <c r="F459" t="s">
        <v>1215</v>
      </c>
      <c r="G459">
        <f t="shared" si="23"/>
        <v>20</v>
      </c>
      <c r="H459">
        <v>6</v>
      </c>
      <c r="I459" t="s">
        <v>84</v>
      </c>
      <c r="J459">
        <v>6090</v>
      </c>
      <c r="K459" t="s">
        <v>1247</v>
      </c>
      <c r="L459" t="s">
        <v>1248</v>
      </c>
      <c r="M459" t="str">
        <f t="shared" si="22"/>
        <v>Sunday</v>
      </c>
    </row>
    <row r="460" spans="1:13" x14ac:dyDescent="0.3">
      <c r="A460" s="4">
        <f t="shared" si="21"/>
        <v>46103</v>
      </c>
      <c r="B460">
        <v>22</v>
      </c>
      <c r="C460" t="s">
        <v>1214</v>
      </c>
      <c r="D460" cm="1">
        <f t="array" ref="D460">_xlfn.SWITCH(C460, "JAN", 1, "FEB", 2, "MAR", 3, "APR", 4,"MAY", 5, "JUN",6, "JUL", 7, "AUG", 8, "SEP", 9, "OCT", 10, "NOV", 11, "DEC", 12, "NO")</f>
        <v>3</v>
      </c>
      <c r="E460">
        <v>2026</v>
      </c>
      <c r="F460" t="s">
        <v>1249</v>
      </c>
      <c r="G460">
        <f t="shared" si="23"/>
        <v>19</v>
      </c>
      <c r="H460">
        <v>52</v>
      </c>
      <c r="I460" t="s">
        <v>84</v>
      </c>
      <c r="J460">
        <v>100</v>
      </c>
      <c r="K460" t="s">
        <v>1250</v>
      </c>
      <c r="L460" t="s">
        <v>1251</v>
      </c>
      <c r="M460" t="str">
        <f t="shared" si="22"/>
        <v>Sunday</v>
      </c>
    </row>
    <row r="461" spans="1:13" x14ac:dyDescent="0.3">
      <c r="A461" s="4">
        <f t="shared" si="21"/>
        <v>46102</v>
      </c>
      <c r="B461">
        <v>21</v>
      </c>
      <c r="C461" t="s">
        <v>1214</v>
      </c>
      <c r="D461" cm="1">
        <f t="array" ref="D461">_xlfn.SWITCH(C461, "JAN", 1, "FEB", 2, "MAR", 3, "APR", 4,"MAY", 5, "JUN",6, "JUL", 7, "AUG", 8, "SEP", 9, "OCT", 10, "NOV", 11, "DEC", 12, "NO")</f>
        <v>3</v>
      </c>
      <c r="E461">
        <v>2026</v>
      </c>
      <c r="F461" t="s">
        <v>936</v>
      </c>
      <c r="G461">
        <f t="shared" si="23"/>
        <v>18</v>
      </c>
      <c r="H461">
        <v>51</v>
      </c>
      <c r="I461" t="s">
        <v>12</v>
      </c>
      <c r="J461">
        <v>4590</v>
      </c>
      <c r="K461" t="s">
        <v>1252</v>
      </c>
      <c r="L461" t="s">
        <v>1253</v>
      </c>
      <c r="M461" t="str">
        <f t="shared" si="22"/>
        <v>Saturday</v>
      </c>
    </row>
    <row r="462" spans="1:13" x14ac:dyDescent="0.3">
      <c r="A462" s="4">
        <f t="shared" si="21"/>
        <v>46101</v>
      </c>
      <c r="B462">
        <v>20</v>
      </c>
      <c r="C462" t="s">
        <v>1214</v>
      </c>
      <c r="D462" cm="1">
        <f t="array" ref="D462">_xlfn.SWITCH(C462, "JAN", 1, "FEB", 2, "MAR", 3, "APR", 4,"MAY", 5, "JUN",6, "JUL", 7, "AUG", 8, "SEP", 9, "OCT", 10, "NOV", 11, "DEC", 12, "NO")</f>
        <v>3</v>
      </c>
      <c r="E462">
        <v>2026</v>
      </c>
      <c r="F462" t="s">
        <v>477</v>
      </c>
      <c r="G462">
        <f t="shared" si="23"/>
        <v>16</v>
      </c>
      <c r="H462">
        <v>9</v>
      </c>
      <c r="I462" t="s">
        <v>12</v>
      </c>
      <c r="J462">
        <v>250</v>
      </c>
      <c r="K462" t="s">
        <v>1254</v>
      </c>
      <c r="L462" t="s">
        <v>1255</v>
      </c>
      <c r="M462" t="str">
        <f t="shared" si="22"/>
        <v>Friday</v>
      </c>
    </row>
    <row r="463" spans="1:13" x14ac:dyDescent="0.3">
      <c r="A463" s="4">
        <f t="shared" si="21"/>
        <v>46101</v>
      </c>
      <c r="B463">
        <v>20</v>
      </c>
      <c r="C463" t="s">
        <v>1214</v>
      </c>
      <c r="D463" cm="1">
        <f t="array" ref="D463">_xlfn.SWITCH(C463, "JAN", 1, "FEB", 2, "MAR", 3, "APR", 4,"MAY", 5, "JUN",6, "JUL", 7, "AUG", 8, "SEP", 9, "OCT", 10, "NOV", 11, "DEC", 12, "NO")</f>
        <v>3</v>
      </c>
      <c r="E463">
        <v>2026</v>
      </c>
      <c r="F463" t="s">
        <v>488</v>
      </c>
      <c r="G463">
        <f t="shared" si="23"/>
        <v>16</v>
      </c>
      <c r="H463">
        <v>0</v>
      </c>
      <c r="I463" t="s">
        <v>12</v>
      </c>
      <c r="J463">
        <v>520</v>
      </c>
      <c r="K463" t="s">
        <v>1256</v>
      </c>
      <c r="L463" t="s">
        <v>1257</v>
      </c>
      <c r="M463" t="str">
        <f t="shared" si="22"/>
        <v>Friday</v>
      </c>
    </row>
    <row r="464" spans="1:13" x14ac:dyDescent="0.3">
      <c r="A464" s="4">
        <f t="shared" si="21"/>
        <v>46101</v>
      </c>
      <c r="B464">
        <v>20</v>
      </c>
      <c r="C464" t="s">
        <v>1214</v>
      </c>
      <c r="D464" cm="1">
        <f t="array" ref="D464">_xlfn.SWITCH(C464, "JAN", 1, "FEB", 2, "MAR", 3, "APR", 4,"MAY", 5, "JUN",6, "JUL", 7, "AUG", 8, "SEP", 9, "OCT", 10, "NOV", 11, "DEC", 12, "NO")</f>
        <v>3</v>
      </c>
      <c r="E464">
        <v>2026</v>
      </c>
      <c r="F464" t="s">
        <v>703</v>
      </c>
      <c r="G464">
        <f t="shared" si="23"/>
        <v>15</v>
      </c>
      <c r="H464">
        <v>49</v>
      </c>
      <c r="I464" t="s">
        <v>12</v>
      </c>
      <c r="J464">
        <v>2080</v>
      </c>
      <c r="K464" t="s">
        <v>1258</v>
      </c>
      <c r="L464" t="s">
        <v>1259</v>
      </c>
      <c r="M464" t="str">
        <f t="shared" si="22"/>
        <v>Friday</v>
      </c>
    </row>
    <row r="465" spans="1:13" x14ac:dyDescent="0.3">
      <c r="A465" s="4">
        <f t="shared" si="21"/>
        <v>46100</v>
      </c>
      <c r="B465">
        <v>19</v>
      </c>
      <c r="C465" t="s">
        <v>1214</v>
      </c>
      <c r="D465" cm="1">
        <f t="array" ref="D465">_xlfn.SWITCH(C465, "JAN", 1, "FEB", 2, "MAR", 3, "APR", 4,"MAY", 5, "JUN",6, "JUL", 7, "AUG", 8, "SEP", 9, "OCT", 10, "NOV", 11, "DEC", 12, "NO")</f>
        <v>3</v>
      </c>
      <c r="E465">
        <v>2026</v>
      </c>
      <c r="F465" t="s">
        <v>969</v>
      </c>
      <c r="G465">
        <f t="shared" si="23"/>
        <v>19</v>
      </c>
      <c r="H465">
        <v>1</v>
      </c>
      <c r="I465" t="s">
        <v>12</v>
      </c>
      <c r="J465">
        <v>1000</v>
      </c>
      <c r="K465" t="s">
        <v>1260</v>
      </c>
      <c r="L465" t="s">
        <v>1261</v>
      </c>
      <c r="M465" t="str">
        <f t="shared" si="22"/>
        <v>Thursday</v>
      </c>
    </row>
    <row r="466" spans="1:13" x14ac:dyDescent="0.3">
      <c r="A466" s="4">
        <f t="shared" si="21"/>
        <v>46097</v>
      </c>
      <c r="B466">
        <v>16</v>
      </c>
      <c r="C466" t="s">
        <v>1214</v>
      </c>
      <c r="D466" cm="1">
        <f t="array" ref="D466">_xlfn.SWITCH(C466, "JAN", 1, "FEB", 2, "MAR", 3, "APR", 4,"MAY", 5, "JUN",6, "JUL", 7, "AUG", 8, "SEP", 9, "OCT", 10, "NOV", 11, "DEC", 12, "NO")</f>
        <v>3</v>
      </c>
      <c r="E466">
        <v>2026</v>
      </c>
      <c r="F466" t="s">
        <v>30</v>
      </c>
      <c r="G466">
        <f t="shared" si="23"/>
        <v>11</v>
      </c>
      <c r="H466">
        <v>52</v>
      </c>
      <c r="I466" t="s">
        <v>84</v>
      </c>
      <c r="J466">
        <v>130</v>
      </c>
      <c r="K466" t="s">
        <v>1262</v>
      </c>
      <c r="L466" t="s">
        <v>1263</v>
      </c>
      <c r="M466" t="str">
        <f t="shared" si="22"/>
        <v>Monday</v>
      </c>
    </row>
    <row r="467" spans="1:13" x14ac:dyDescent="0.3">
      <c r="A467" s="4">
        <f t="shared" si="21"/>
        <v>46094</v>
      </c>
      <c r="B467">
        <v>13</v>
      </c>
      <c r="C467" t="s">
        <v>1214</v>
      </c>
      <c r="D467" cm="1">
        <f t="array" ref="D467">_xlfn.SWITCH(C467, "JAN", 1, "FEB", 2, "MAR", 3, "APR", 4,"MAY", 5, "JUN",6, "JUL", 7, "AUG", 8, "SEP", 9, "OCT", 10, "NOV", 11, "DEC", 12, "NO")</f>
        <v>3</v>
      </c>
      <c r="E467">
        <v>2026</v>
      </c>
      <c r="F467" t="s">
        <v>1264</v>
      </c>
      <c r="G467">
        <f t="shared" si="23"/>
        <v>10</v>
      </c>
      <c r="H467">
        <v>24</v>
      </c>
      <c r="I467" t="s">
        <v>84</v>
      </c>
      <c r="J467">
        <v>800</v>
      </c>
      <c r="K467" t="s">
        <v>1265</v>
      </c>
      <c r="L467" t="s">
        <v>1266</v>
      </c>
      <c r="M467" t="str">
        <f t="shared" si="22"/>
        <v>Friday</v>
      </c>
    </row>
    <row r="468" spans="1:13" x14ac:dyDescent="0.3">
      <c r="A468" s="4">
        <f t="shared" si="21"/>
        <v>46093</v>
      </c>
      <c r="B468">
        <v>12</v>
      </c>
      <c r="C468" t="s">
        <v>1214</v>
      </c>
      <c r="D468" cm="1">
        <f t="array" ref="D468">_xlfn.SWITCH(C468, "JAN", 1, "FEB", 2, "MAR", 3, "APR", 4,"MAY", 5, "JUN",6, "JUL", 7, "AUG", 8, "SEP", 9, "OCT", 10, "NOV", 11, "DEC", 12, "NO")</f>
        <v>3</v>
      </c>
      <c r="E468">
        <v>2026</v>
      </c>
      <c r="F468" t="s">
        <v>258</v>
      </c>
      <c r="G468">
        <f t="shared" si="23"/>
        <v>18</v>
      </c>
      <c r="H468">
        <v>52</v>
      </c>
      <c r="I468" t="s">
        <v>84</v>
      </c>
      <c r="J468">
        <v>1000</v>
      </c>
      <c r="K468" t="s">
        <v>1267</v>
      </c>
      <c r="L468" t="s">
        <v>1268</v>
      </c>
      <c r="M468" t="str">
        <f t="shared" si="22"/>
        <v>Thursday</v>
      </c>
    </row>
    <row r="469" spans="1:13" x14ac:dyDescent="0.3">
      <c r="A469" s="4">
        <f t="shared" si="21"/>
        <v>46093</v>
      </c>
      <c r="B469">
        <v>12</v>
      </c>
      <c r="C469" t="s">
        <v>1214</v>
      </c>
      <c r="D469" cm="1">
        <f t="array" ref="D469">_xlfn.SWITCH(C469, "JAN", 1, "FEB", 2, "MAR", 3, "APR", 4,"MAY", 5, "JUN",6, "JUL", 7, "AUG", 8, "SEP", 9, "OCT", 10, "NOV", 11, "DEC", 12, "NO")</f>
        <v>3</v>
      </c>
      <c r="E469">
        <v>2026</v>
      </c>
      <c r="F469" t="s">
        <v>42</v>
      </c>
      <c r="G469">
        <f t="shared" si="23"/>
        <v>10</v>
      </c>
      <c r="H469">
        <v>56</v>
      </c>
      <c r="I469" t="s">
        <v>84</v>
      </c>
      <c r="J469">
        <v>777</v>
      </c>
      <c r="K469" t="s">
        <v>1269</v>
      </c>
      <c r="L469" t="s">
        <v>1270</v>
      </c>
      <c r="M469" t="str">
        <f t="shared" si="22"/>
        <v>Thursday</v>
      </c>
    </row>
    <row r="470" spans="1:13" x14ac:dyDescent="0.3">
      <c r="A470" s="4">
        <f t="shared" si="21"/>
        <v>46091</v>
      </c>
      <c r="B470">
        <v>10</v>
      </c>
      <c r="C470" t="s">
        <v>1214</v>
      </c>
      <c r="D470" cm="1">
        <f t="array" ref="D470">_xlfn.SWITCH(C470, "JAN", 1, "FEB", 2, "MAR", 3, "APR", 4,"MAY", 5, "JUN",6, "JUL", 7, "AUG", 8, "SEP", 9, "OCT", 10, "NOV", 11, "DEC", 12, "NO")</f>
        <v>3</v>
      </c>
      <c r="E470">
        <v>2026</v>
      </c>
      <c r="F470" t="s">
        <v>1271</v>
      </c>
      <c r="G470">
        <f t="shared" si="23"/>
        <v>11</v>
      </c>
      <c r="H470">
        <v>44</v>
      </c>
      <c r="I470" t="s">
        <v>84</v>
      </c>
      <c r="J470">
        <v>208</v>
      </c>
      <c r="K470" t="s">
        <v>1272</v>
      </c>
      <c r="L470" t="s">
        <v>1273</v>
      </c>
      <c r="M470" t="str">
        <f t="shared" si="22"/>
        <v>Tuesday</v>
      </c>
    </row>
    <row r="471" spans="1:13" x14ac:dyDescent="0.3">
      <c r="A471" s="4">
        <f t="shared" si="21"/>
        <v>46085</v>
      </c>
      <c r="B471">
        <v>4</v>
      </c>
      <c r="C471" t="s">
        <v>1214</v>
      </c>
      <c r="D471" cm="1">
        <f t="array" ref="D471">_xlfn.SWITCH(C471, "JAN", 1, "FEB", 2, "MAR", 3, "APR", 4,"MAY", 5, "JUN",6, "JUL", 7, "AUG", 8, "SEP", 9, "OCT", 10, "NOV", 11, "DEC", 12, "NO")</f>
        <v>3</v>
      </c>
      <c r="E471">
        <v>2026</v>
      </c>
      <c r="F471" t="s">
        <v>1274</v>
      </c>
      <c r="G471">
        <f t="shared" si="23"/>
        <v>22</v>
      </c>
      <c r="H471">
        <v>11</v>
      </c>
      <c r="I471" t="s">
        <v>12</v>
      </c>
      <c r="J471">
        <v>1100</v>
      </c>
      <c r="K471" t="s">
        <v>1275</v>
      </c>
      <c r="L471" t="s">
        <v>1276</v>
      </c>
      <c r="M471" t="str">
        <f t="shared" si="22"/>
        <v>Wednesday</v>
      </c>
    </row>
    <row r="472" spans="1:13" x14ac:dyDescent="0.3">
      <c r="A472" s="4">
        <f t="shared" si="21"/>
        <v>46085</v>
      </c>
      <c r="B472">
        <v>4</v>
      </c>
      <c r="C472" t="s">
        <v>1214</v>
      </c>
      <c r="D472" cm="1">
        <f t="array" ref="D472">_xlfn.SWITCH(C472, "JAN", 1, "FEB", 2, "MAR", 3, "APR", 4,"MAY", 5, "JUN",6, "JUL", 7, "AUG", 8, "SEP", 9, "OCT", 10, "NOV", 11, "DEC", 12, "NO")</f>
        <v>3</v>
      </c>
      <c r="E472">
        <v>2026</v>
      </c>
      <c r="F472" t="s">
        <v>1277</v>
      </c>
      <c r="G472">
        <f t="shared" si="23"/>
        <v>18</v>
      </c>
      <c r="H472">
        <v>12</v>
      </c>
      <c r="I472" t="s">
        <v>84</v>
      </c>
      <c r="J472">
        <v>600</v>
      </c>
      <c r="K472" t="s">
        <v>1278</v>
      </c>
      <c r="L472" t="s">
        <v>1279</v>
      </c>
      <c r="M472" t="str">
        <f t="shared" si="22"/>
        <v>Wednesday</v>
      </c>
    </row>
    <row r="473" spans="1:13" x14ac:dyDescent="0.3">
      <c r="A473" s="4">
        <f t="shared" si="21"/>
        <v>46085</v>
      </c>
      <c r="B473">
        <v>4</v>
      </c>
      <c r="C473" t="s">
        <v>1214</v>
      </c>
      <c r="D473" cm="1">
        <f t="array" ref="D473">_xlfn.SWITCH(C473, "JAN", 1, "FEB", 2, "MAR", 3, "APR", 4,"MAY", 5, "JUN",6, "JUL", 7, "AUG", 8, "SEP", 9, "OCT", 10, "NOV", 11, "DEC", 12, "NO")</f>
        <v>3</v>
      </c>
      <c r="E473">
        <v>2026</v>
      </c>
      <c r="F473" t="s">
        <v>315</v>
      </c>
      <c r="G473">
        <f t="shared" si="23"/>
        <v>18</v>
      </c>
      <c r="H473">
        <v>10</v>
      </c>
      <c r="I473" t="s">
        <v>84</v>
      </c>
      <c r="J473">
        <v>1800</v>
      </c>
      <c r="K473" t="s">
        <v>1280</v>
      </c>
      <c r="L473" t="s">
        <v>1281</v>
      </c>
      <c r="M473" t="str">
        <f t="shared" si="22"/>
        <v>Wednesday</v>
      </c>
    </row>
    <row r="474" spans="1:13" x14ac:dyDescent="0.3">
      <c r="A474" s="4">
        <f t="shared" si="21"/>
        <v>46084</v>
      </c>
      <c r="B474">
        <v>3</v>
      </c>
      <c r="C474" t="s">
        <v>1214</v>
      </c>
      <c r="D474" cm="1">
        <f t="array" ref="D474">_xlfn.SWITCH(C474, "JAN", 1, "FEB", 2, "MAR", 3, "APR", 4,"MAY", 5, "JUN",6, "JUL", 7, "AUG", 8, "SEP", 9, "OCT", 10, "NOV", 11, "DEC", 12, "NO")</f>
        <v>3</v>
      </c>
      <c r="E474">
        <v>2026</v>
      </c>
      <c r="F474" t="s">
        <v>1282</v>
      </c>
      <c r="G474">
        <f t="shared" si="23"/>
        <v>22</v>
      </c>
      <c r="H474">
        <v>22</v>
      </c>
      <c r="I474" t="s">
        <v>12</v>
      </c>
      <c r="J474">
        <v>1200</v>
      </c>
      <c r="K474" t="s">
        <v>1283</v>
      </c>
      <c r="L474" t="s">
        <v>1284</v>
      </c>
      <c r="M474" t="str">
        <f t="shared" si="22"/>
        <v>Tuesday</v>
      </c>
    </row>
    <row r="475" spans="1:13" x14ac:dyDescent="0.3">
      <c r="A475" s="4">
        <f t="shared" si="21"/>
        <v>46084</v>
      </c>
      <c r="B475">
        <v>3</v>
      </c>
      <c r="C475" t="s">
        <v>1214</v>
      </c>
      <c r="D475" cm="1">
        <f t="array" ref="D475">_xlfn.SWITCH(C475, "JAN", 1, "FEB", 2, "MAR", 3, "APR", 4,"MAY", 5, "JUN",6, "JUL", 7, "AUG", 8, "SEP", 9, "OCT", 10, "NOV", 11, "DEC", 12, "NO")</f>
        <v>3</v>
      </c>
      <c r="E475">
        <v>2026</v>
      </c>
      <c r="F475" t="s">
        <v>1285</v>
      </c>
      <c r="G475">
        <f t="shared" si="23"/>
        <v>22</v>
      </c>
      <c r="H475">
        <v>17</v>
      </c>
      <c r="I475" t="s">
        <v>12</v>
      </c>
      <c r="J475">
        <v>350</v>
      </c>
      <c r="K475" t="s">
        <v>1286</v>
      </c>
      <c r="L475" t="s">
        <v>1287</v>
      </c>
      <c r="M475" t="str">
        <f t="shared" si="22"/>
        <v>Tuesday</v>
      </c>
    </row>
    <row r="476" spans="1:13" x14ac:dyDescent="0.3">
      <c r="A476" s="4">
        <f t="shared" si="21"/>
        <v>46084</v>
      </c>
      <c r="B476">
        <v>3</v>
      </c>
      <c r="C476" t="s">
        <v>1214</v>
      </c>
      <c r="D476" cm="1">
        <f t="array" ref="D476">_xlfn.SWITCH(C476, "JAN", 1, "FEB", 2, "MAR", 3, "APR", 4,"MAY", 5, "JUN",6, "JUL", 7, "AUG", 8, "SEP", 9, "OCT", 10, "NOV", 11, "DEC", 12, "NO")</f>
        <v>3</v>
      </c>
      <c r="E476">
        <v>2026</v>
      </c>
      <c r="F476" t="s">
        <v>376</v>
      </c>
      <c r="G476">
        <f t="shared" si="23"/>
        <v>19</v>
      </c>
      <c r="H476">
        <v>35</v>
      </c>
      <c r="I476" t="s">
        <v>12</v>
      </c>
      <c r="J476">
        <v>940</v>
      </c>
      <c r="K476" t="s">
        <v>1288</v>
      </c>
      <c r="L476" t="s">
        <v>1289</v>
      </c>
      <c r="M476" t="str">
        <f t="shared" si="22"/>
        <v>Tuesday</v>
      </c>
    </row>
    <row r="477" spans="1:13" x14ac:dyDescent="0.3">
      <c r="A477" s="4">
        <f t="shared" si="21"/>
        <v>46084</v>
      </c>
      <c r="B477">
        <v>3</v>
      </c>
      <c r="C477" t="s">
        <v>1214</v>
      </c>
      <c r="D477" cm="1">
        <f t="array" ref="D477">_xlfn.SWITCH(C477, "JAN", 1, "FEB", 2, "MAR", 3, "APR", 4,"MAY", 5, "JUN",6, "JUL", 7, "AUG", 8, "SEP", 9, "OCT", 10, "NOV", 11, "DEC", 12, "NO")</f>
        <v>3</v>
      </c>
      <c r="E477">
        <v>2026</v>
      </c>
      <c r="F477" t="s">
        <v>235</v>
      </c>
      <c r="G477">
        <f t="shared" si="23"/>
        <v>19</v>
      </c>
      <c r="H477">
        <v>34</v>
      </c>
      <c r="I477" t="s">
        <v>12</v>
      </c>
      <c r="J477">
        <v>930</v>
      </c>
      <c r="K477" t="s">
        <v>1290</v>
      </c>
      <c r="L477" t="s">
        <v>1291</v>
      </c>
      <c r="M477" t="str">
        <f t="shared" si="22"/>
        <v>Tuesday</v>
      </c>
    </row>
    <row r="478" spans="1:13" x14ac:dyDescent="0.3">
      <c r="A478" s="4">
        <f t="shared" si="21"/>
        <v>46084</v>
      </c>
      <c r="B478">
        <v>3</v>
      </c>
      <c r="C478" t="s">
        <v>1214</v>
      </c>
      <c r="D478" cm="1">
        <f t="array" ref="D478">_xlfn.SWITCH(C478, "JAN", 1, "FEB", 2, "MAR", 3, "APR", 4,"MAY", 5, "JUN",6, "JUL", 7, "AUG", 8, "SEP", 9, "OCT", 10, "NOV", 11, "DEC", 12, "NO")</f>
        <v>3</v>
      </c>
      <c r="E478">
        <v>2026</v>
      </c>
      <c r="F478" t="s">
        <v>1292</v>
      </c>
      <c r="G478">
        <f t="shared" si="23"/>
        <v>19</v>
      </c>
      <c r="H478">
        <v>27</v>
      </c>
      <c r="I478" t="s">
        <v>12</v>
      </c>
      <c r="J478">
        <v>940</v>
      </c>
      <c r="K478" t="s">
        <v>1293</v>
      </c>
      <c r="L478" t="s">
        <v>1294</v>
      </c>
      <c r="M478" t="str">
        <f t="shared" si="22"/>
        <v>Tuesday</v>
      </c>
    </row>
    <row r="479" spans="1:13" x14ac:dyDescent="0.3">
      <c r="A479" s="4">
        <f t="shared" si="21"/>
        <v>46084</v>
      </c>
      <c r="B479">
        <v>3</v>
      </c>
      <c r="C479" t="s">
        <v>1214</v>
      </c>
      <c r="D479" cm="1">
        <f t="array" ref="D479">_xlfn.SWITCH(C479, "JAN", 1, "FEB", 2, "MAR", 3, "APR", 4,"MAY", 5, "JUN",6, "JUL", 7, "AUG", 8, "SEP", 9, "OCT", 10, "NOV", 11, "DEC", 12, "NO")</f>
        <v>3</v>
      </c>
      <c r="E479">
        <v>2026</v>
      </c>
      <c r="F479" t="s">
        <v>1295</v>
      </c>
      <c r="G479">
        <f t="shared" si="23"/>
        <v>15</v>
      </c>
      <c r="H479">
        <v>10</v>
      </c>
      <c r="I479" t="s">
        <v>12</v>
      </c>
      <c r="J479">
        <v>940</v>
      </c>
      <c r="K479" t="s">
        <v>1296</v>
      </c>
      <c r="L479" t="s">
        <v>1297</v>
      </c>
      <c r="M479" t="str">
        <f t="shared" si="22"/>
        <v>Tuesday</v>
      </c>
    </row>
    <row r="480" spans="1:13" x14ac:dyDescent="0.3">
      <c r="A480" s="4">
        <f t="shared" si="21"/>
        <v>46084</v>
      </c>
      <c r="B480">
        <v>3</v>
      </c>
      <c r="C480" t="s">
        <v>1214</v>
      </c>
      <c r="D480" cm="1">
        <f t="array" ref="D480">_xlfn.SWITCH(C480, "JAN", 1, "FEB", 2, "MAR", 3, "APR", 4,"MAY", 5, "JUN",6, "JUL", 7, "AUG", 8, "SEP", 9, "OCT", 10, "NOV", 11, "DEC", 12, "NO")</f>
        <v>3</v>
      </c>
      <c r="E480">
        <v>2026</v>
      </c>
      <c r="F480" t="s">
        <v>1298</v>
      </c>
      <c r="G480">
        <f t="shared" si="23"/>
        <v>9</v>
      </c>
      <c r="H480">
        <v>20</v>
      </c>
      <c r="I480" t="s">
        <v>12</v>
      </c>
      <c r="J480">
        <v>4900</v>
      </c>
      <c r="K480" t="s">
        <v>1299</v>
      </c>
      <c r="L480" t="s">
        <v>1300</v>
      </c>
      <c r="M480" t="str">
        <f t="shared" si="22"/>
        <v>Tuesday</v>
      </c>
    </row>
    <row r="481" spans="1:13" x14ac:dyDescent="0.3">
      <c r="A481" s="4">
        <f t="shared" si="21"/>
        <v>46084</v>
      </c>
      <c r="B481">
        <v>3</v>
      </c>
      <c r="C481" t="s">
        <v>1214</v>
      </c>
      <c r="D481" cm="1">
        <f t="array" ref="D481">_xlfn.SWITCH(C481, "JAN", 1, "FEB", 2, "MAR", 3, "APR", 4,"MAY", 5, "JUN",6, "JUL", 7, "AUG", 8, "SEP", 9, "OCT", 10, "NOV", 11, "DEC", 12, "NO")</f>
        <v>3</v>
      </c>
      <c r="E481">
        <v>2026</v>
      </c>
      <c r="F481" t="s">
        <v>1301</v>
      </c>
      <c r="G481">
        <f t="shared" si="23"/>
        <v>7</v>
      </c>
      <c r="H481">
        <v>22</v>
      </c>
      <c r="I481" t="s">
        <v>84</v>
      </c>
      <c r="J481">
        <v>100</v>
      </c>
      <c r="K481" t="s">
        <v>1302</v>
      </c>
      <c r="L481" t="s">
        <v>1303</v>
      </c>
      <c r="M481" t="str">
        <f t="shared" si="22"/>
        <v>Tuesday</v>
      </c>
    </row>
    <row r="482" spans="1:13" x14ac:dyDescent="0.3">
      <c r="A482" s="4">
        <f t="shared" si="21"/>
        <v>46083</v>
      </c>
      <c r="B482">
        <v>2</v>
      </c>
      <c r="C482" t="s">
        <v>1214</v>
      </c>
      <c r="D482" cm="1">
        <f t="array" ref="D482">_xlfn.SWITCH(C482, "JAN", 1, "FEB", 2, "MAR", 3, "APR", 4,"MAY", 5, "JUN",6, "JUL", 7, "AUG", 8, "SEP", 9, "OCT", 10, "NOV", 11, "DEC", 12, "NO")</f>
        <v>3</v>
      </c>
      <c r="E482">
        <v>2026</v>
      </c>
      <c r="F482" t="s">
        <v>626</v>
      </c>
      <c r="G482">
        <f t="shared" si="23"/>
        <v>18</v>
      </c>
      <c r="H482">
        <v>48</v>
      </c>
      <c r="I482" t="s">
        <v>12</v>
      </c>
      <c r="J482">
        <v>4000</v>
      </c>
      <c r="K482" t="s">
        <v>1304</v>
      </c>
      <c r="L482" t="s">
        <v>1305</v>
      </c>
      <c r="M482" t="str">
        <f t="shared" si="22"/>
        <v>Monday</v>
      </c>
    </row>
    <row r="483" spans="1:13" x14ac:dyDescent="0.3">
      <c r="A483" s="4">
        <f t="shared" si="21"/>
        <v>46083</v>
      </c>
      <c r="B483">
        <v>2</v>
      </c>
      <c r="C483" t="s">
        <v>1214</v>
      </c>
      <c r="D483" cm="1">
        <f t="array" ref="D483">_xlfn.SWITCH(C483, "JAN", 1, "FEB", 2, "MAR", 3, "APR", 4,"MAY", 5, "JUN",6, "JUL", 7, "AUG", 8, "SEP", 9, "OCT", 10, "NOV", 11, "DEC", 12, "NO")</f>
        <v>3</v>
      </c>
      <c r="E483">
        <v>2026</v>
      </c>
      <c r="F483" t="s">
        <v>1306</v>
      </c>
      <c r="G483">
        <f t="shared" si="23"/>
        <v>15</v>
      </c>
      <c r="H483">
        <v>39</v>
      </c>
      <c r="I483" t="s">
        <v>84</v>
      </c>
      <c r="J483">
        <v>905</v>
      </c>
      <c r="K483" t="s">
        <v>1307</v>
      </c>
      <c r="L483" t="s">
        <v>1308</v>
      </c>
      <c r="M483" t="str">
        <f t="shared" si="22"/>
        <v>Monday</v>
      </c>
    </row>
    <row r="484" spans="1:13" x14ac:dyDescent="0.3">
      <c r="A484" s="4">
        <f t="shared" si="21"/>
        <v>46083</v>
      </c>
      <c r="B484">
        <v>2</v>
      </c>
      <c r="C484" t="s">
        <v>1214</v>
      </c>
      <c r="D484" cm="1">
        <f t="array" ref="D484">_xlfn.SWITCH(C484, "JAN", 1, "FEB", 2, "MAR", 3, "APR", 4,"MAY", 5, "JUN",6, "JUL", 7, "AUG", 8, "SEP", 9, "OCT", 10, "NOV", 11, "DEC", 12, "NO")</f>
        <v>3</v>
      </c>
      <c r="E484">
        <v>2026</v>
      </c>
      <c r="F484" t="s">
        <v>217</v>
      </c>
      <c r="G484">
        <f t="shared" si="23"/>
        <v>15</v>
      </c>
      <c r="H484">
        <v>38</v>
      </c>
      <c r="I484" t="s">
        <v>84</v>
      </c>
      <c r="J484">
        <v>905</v>
      </c>
      <c r="K484" t="s">
        <v>1309</v>
      </c>
      <c r="L484" t="s">
        <v>1310</v>
      </c>
      <c r="M484" t="str">
        <f t="shared" si="22"/>
        <v>Monday</v>
      </c>
    </row>
    <row r="485" spans="1:13" x14ac:dyDescent="0.3">
      <c r="A485" s="4">
        <f t="shared" si="21"/>
        <v>46081</v>
      </c>
      <c r="B485">
        <v>28</v>
      </c>
      <c r="C485" t="s">
        <v>1311</v>
      </c>
      <c r="D485" cm="1">
        <f t="array" ref="D485">_xlfn.SWITCH(C485, "JAN", 1, "FEB", 2, "MAR", 3, "APR", 4,"MAY", 5, "JUN",6, "JUL", 7, "AUG", 8, "SEP", 9, "OCT", 10, "NOV", 11, "DEC", 12, "NO")</f>
        <v>2</v>
      </c>
      <c r="E485">
        <v>2026</v>
      </c>
      <c r="F485" t="s">
        <v>438</v>
      </c>
      <c r="G485">
        <f t="shared" si="23"/>
        <v>20</v>
      </c>
      <c r="H485">
        <v>4</v>
      </c>
      <c r="I485" t="s">
        <v>12</v>
      </c>
      <c r="J485">
        <v>350</v>
      </c>
      <c r="K485" t="s">
        <v>1312</v>
      </c>
      <c r="L485" t="s">
        <v>1313</v>
      </c>
      <c r="M485" t="str">
        <f t="shared" si="22"/>
        <v>Saturday</v>
      </c>
    </row>
    <row r="486" spans="1:13" x14ac:dyDescent="0.3">
      <c r="A486" s="4">
        <f t="shared" si="21"/>
        <v>46081</v>
      </c>
      <c r="B486">
        <v>28</v>
      </c>
      <c r="C486" t="s">
        <v>1311</v>
      </c>
      <c r="D486" cm="1">
        <f t="array" ref="D486">_xlfn.SWITCH(C486, "JAN", 1, "FEB", 2, "MAR", 3, "APR", 4,"MAY", 5, "JUN",6, "JUL", 7, "AUG", 8, "SEP", 9, "OCT", 10, "NOV", 11, "DEC", 12, "NO")</f>
        <v>2</v>
      </c>
      <c r="E486">
        <v>2026</v>
      </c>
      <c r="F486" t="s">
        <v>1221</v>
      </c>
      <c r="G486">
        <f t="shared" si="23"/>
        <v>19</v>
      </c>
      <c r="H486">
        <v>31</v>
      </c>
      <c r="I486" t="s">
        <v>84</v>
      </c>
      <c r="J486">
        <v>1810</v>
      </c>
      <c r="K486" t="s">
        <v>1314</v>
      </c>
      <c r="L486" t="s">
        <v>1315</v>
      </c>
      <c r="M486" t="str">
        <f t="shared" si="22"/>
        <v>Saturday</v>
      </c>
    </row>
    <row r="487" spans="1:13" x14ac:dyDescent="0.3">
      <c r="A487" s="4">
        <f t="shared" si="21"/>
        <v>46081</v>
      </c>
      <c r="B487">
        <v>28</v>
      </c>
      <c r="C487" t="s">
        <v>1311</v>
      </c>
      <c r="D487" cm="1">
        <f t="array" ref="D487">_xlfn.SWITCH(C487, "JAN", 1, "FEB", 2, "MAR", 3, "APR", 4,"MAY", 5, "JUN",6, "JUL", 7, "AUG", 8, "SEP", 9, "OCT", 10, "NOV", 11, "DEC", 12, "NO")</f>
        <v>2</v>
      </c>
      <c r="E487">
        <v>2026</v>
      </c>
      <c r="F487" t="s">
        <v>1088</v>
      </c>
      <c r="G487">
        <f t="shared" si="23"/>
        <v>19</v>
      </c>
      <c r="H487">
        <v>30</v>
      </c>
      <c r="I487" t="s">
        <v>84</v>
      </c>
      <c r="J487">
        <v>353</v>
      </c>
      <c r="K487" t="s">
        <v>1316</v>
      </c>
      <c r="L487" t="s">
        <v>1317</v>
      </c>
      <c r="M487" t="str">
        <f t="shared" si="22"/>
        <v>Saturday</v>
      </c>
    </row>
    <row r="488" spans="1:13" x14ac:dyDescent="0.3">
      <c r="A488" s="4">
        <f t="shared" si="21"/>
        <v>46077</v>
      </c>
      <c r="B488">
        <v>24</v>
      </c>
      <c r="C488" t="s">
        <v>1311</v>
      </c>
      <c r="D488" cm="1">
        <f t="array" ref="D488">_xlfn.SWITCH(C488, "JAN", 1, "FEB", 2, "MAR", 3, "APR", 4,"MAY", 5, "JUN",6, "JUL", 7, "AUG", 8, "SEP", 9, "OCT", 10, "NOV", 11, "DEC", 12, "NO")</f>
        <v>2</v>
      </c>
      <c r="E488">
        <v>2026</v>
      </c>
      <c r="F488" t="s">
        <v>1318</v>
      </c>
      <c r="G488">
        <f t="shared" si="23"/>
        <v>20</v>
      </c>
      <c r="H488">
        <v>44</v>
      </c>
      <c r="I488" t="s">
        <v>12</v>
      </c>
      <c r="J488">
        <v>2000</v>
      </c>
      <c r="K488" t="s">
        <v>1319</v>
      </c>
      <c r="L488" t="s">
        <v>1320</v>
      </c>
      <c r="M488" t="str">
        <f t="shared" si="22"/>
        <v>Tuesday</v>
      </c>
    </row>
    <row r="489" spans="1:13" x14ac:dyDescent="0.3">
      <c r="A489" s="4">
        <f t="shared" si="21"/>
        <v>46077</v>
      </c>
      <c r="B489">
        <v>24</v>
      </c>
      <c r="C489" t="s">
        <v>1311</v>
      </c>
      <c r="D489" cm="1">
        <f t="array" ref="D489">_xlfn.SWITCH(C489, "JAN", 1, "FEB", 2, "MAR", 3, "APR", 4,"MAY", 5, "JUN",6, "JUL", 7, "AUG", 8, "SEP", 9, "OCT", 10, "NOV", 11, "DEC", 12, "NO")</f>
        <v>2</v>
      </c>
      <c r="E489">
        <v>2026</v>
      </c>
      <c r="F489" t="s">
        <v>1321</v>
      </c>
      <c r="G489">
        <f t="shared" si="23"/>
        <v>19</v>
      </c>
      <c r="H489">
        <v>16</v>
      </c>
      <c r="I489" t="s">
        <v>12</v>
      </c>
      <c r="J489">
        <v>1150</v>
      </c>
      <c r="K489" t="s">
        <v>1322</v>
      </c>
      <c r="L489" t="s">
        <v>1323</v>
      </c>
      <c r="M489" t="str">
        <f t="shared" si="22"/>
        <v>Tuesday</v>
      </c>
    </row>
    <row r="490" spans="1:13" x14ac:dyDescent="0.3">
      <c r="A490" s="4">
        <f t="shared" si="21"/>
        <v>46077</v>
      </c>
      <c r="B490">
        <v>24</v>
      </c>
      <c r="C490" t="s">
        <v>1311</v>
      </c>
      <c r="D490" cm="1">
        <f t="array" ref="D490">_xlfn.SWITCH(C490, "JAN", 1, "FEB", 2, "MAR", 3, "APR", 4,"MAY", 5, "JUN",6, "JUL", 7, "AUG", 8, "SEP", 9, "OCT", 10, "NOV", 11, "DEC", 12, "NO")</f>
        <v>2</v>
      </c>
      <c r="E490">
        <v>2026</v>
      </c>
      <c r="F490" t="s">
        <v>306</v>
      </c>
      <c r="G490">
        <f t="shared" si="23"/>
        <v>19</v>
      </c>
      <c r="H490">
        <v>12</v>
      </c>
      <c r="I490" t="s">
        <v>84</v>
      </c>
      <c r="J490">
        <v>500</v>
      </c>
      <c r="K490" t="s">
        <v>1324</v>
      </c>
      <c r="L490" t="s">
        <v>1325</v>
      </c>
      <c r="M490" t="str">
        <f t="shared" si="22"/>
        <v>Tuesday</v>
      </c>
    </row>
    <row r="491" spans="1:13" x14ac:dyDescent="0.3">
      <c r="A491" s="4">
        <f t="shared" si="21"/>
        <v>46073</v>
      </c>
      <c r="B491">
        <v>20</v>
      </c>
      <c r="C491" t="s">
        <v>1311</v>
      </c>
      <c r="D491" cm="1">
        <f t="array" ref="D491">_xlfn.SWITCH(C491, "JAN", 1, "FEB", 2, "MAR", 3, "APR", 4,"MAY", 5, "JUN",6, "JUL", 7, "AUG", 8, "SEP", 9, "OCT", 10, "NOV", 11, "DEC", 12, "NO")</f>
        <v>2</v>
      </c>
      <c r="E491">
        <v>2026</v>
      </c>
      <c r="F491" t="s">
        <v>1153</v>
      </c>
      <c r="G491">
        <f t="shared" si="23"/>
        <v>19</v>
      </c>
      <c r="H491">
        <v>53</v>
      </c>
      <c r="I491" t="s">
        <v>84</v>
      </c>
      <c r="J491">
        <v>1000</v>
      </c>
      <c r="K491" t="s">
        <v>1326</v>
      </c>
      <c r="L491" t="s">
        <v>1327</v>
      </c>
      <c r="M491" t="str">
        <f t="shared" si="22"/>
        <v>Friday</v>
      </c>
    </row>
    <row r="492" spans="1:13" x14ac:dyDescent="0.3">
      <c r="A492" s="4">
        <f t="shared" si="21"/>
        <v>46072</v>
      </c>
      <c r="B492">
        <v>19</v>
      </c>
      <c r="C492" t="s">
        <v>1311</v>
      </c>
      <c r="D492" cm="1">
        <f t="array" ref="D492">_xlfn.SWITCH(C492, "JAN", 1, "FEB", 2, "MAR", 3, "APR", 4,"MAY", 5, "JUN",6, "JUL", 7, "AUG", 8, "SEP", 9, "OCT", 10, "NOV", 11, "DEC", 12, "NO")</f>
        <v>2</v>
      </c>
      <c r="E492">
        <v>2026</v>
      </c>
      <c r="F492" t="s">
        <v>1328</v>
      </c>
      <c r="G492">
        <f t="shared" si="23"/>
        <v>21</v>
      </c>
      <c r="H492">
        <v>30</v>
      </c>
      <c r="I492" t="s">
        <v>84</v>
      </c>
      <c r="J492">
        <v>800</v>
      </c>
      <c r="K492" t="s">
        <v>1329</v>
      </c>
      <c r="L492" t="s">
        <v>1330</v>
      </c>
      <c r="M492" t="str">
        <f t="shared" si="22"/>
        <v>Thursday</v>
      </c>
    </row>
    <row r="493" spans="1:13" x14ac:dyDescent="0.3">
      <c r="A493" s="4">
        <f t="shared" si="21"/>
        <v>46072</v>
      </c>
      <c r="B493">
        <v>19</v>
      </c>
      <c r="C493" t="s">
        <v>1311</v>
      </c>
      <c r="D493" cm="1">
        <f t="array" ref="D493">_xlfn.SWITCH(C493, "JAN", 1, "FEB", 2, "MAR", 3, "APR", 4,"MAY", 5, "JUN",6, "JUL", 7, "AUG", 8, "SEP", 9, "OCT", 10, "NOV", 11, "DEC", 12, "NO")</f>
        <v>2</v>
      </c>
      <c r="E493">
        <v>2026</v>
      </c>
      <c r="F493" t="s">
        <v>578</v>
      </c>
      <c r="G493">
        <f t="shared" si="23"/>
        <v>16</v>
      </c>
      <c r="H493">
        <v>52</v>
      </c>
      <c r="I493" t="s">
        <v>84</v>
      </c>
      <c r="J493">
        <v>19</v>
      </c>
      <c r="K493" t="s">
        <v>1331</v>
      </c>
      <c r="L493" t="s">
        <v>1332</v>
      </c>
      <c r="M493" t="str">
        <f t="shared" si="22"/>
        <v>Thursday</v>
      </c>
    </row>
    <row r="494" spans="1:13" x14ac:dyDescent="0.3">
      <c r="A494" s="4">
        <f t="shared" si="21"/>
        <v>46071</v>
      </c>
      <c r="B494">
        <v>18</v>
      </c>
      <c r="C494" t="s">
        <v>1311</v>
      </c>
      <c r="D494" cm="1">
        <f t="array" ref="D494">_xlfn.SWITCH(C494, "JAN", 1, "FEB", 2, "MAR", 3, "APR", 4,"MAY", 5, "JUN",6, "JUL", 7, "AUG", 8, "SEP", 9, "OCT", 10, "NOV", 11, "DEC", 12, "NO")</f>
        <v>2</v>
      </c>
      <c r="E494">
        <v>2026</v>
      </c>
      <c r="F494" t="s">
        <v>1333</v>
      </c>
      <c r="G494">
        <f t="shared" si="23"/>
        <v>22</v>
      </c>
      <c r="H494">
        <v>3</v>
      </c>
      <c r="I494" t="s">
        <v>84</v>
      </c>
      <c r="J494">
        <v>4900</v>
      </c>
      <c r="K494" t="s">
        <v>1334</v>
      </c>
      <c r="L494" t="s">
        <v>1335</v>
      </c>
      <c r="M494" t="str">
        <f t="shared" si="22"/>
        <v>Wednesday</v>
      </c>
    </row>
    <row r="495" spans="1:13" x14ac:dyDescent="0.3">
      <c r="A495" s="4">
        <f t="shared" si="21"/>
        <v>46071</v>
      </c>
      <c r="B495">
        <v>18</v>
      </c>
      <c r="C495" t="s">
        <v>1311</v>
      </c>
      <c r="D495" cm="1">
        <f t="array" ref="D495">_xlfn.SWITCH(C495, "JAN", 1, "FEB", 2, "MAR", 3, "APR", 4,"MAY", 5, "JUN",6, "JUL", 7, "AUG", 8, "SEP", 9, "OCT", 10, "NOV", 11, "DEC", 12, "NO")</f>
        <v>2</v>
      </c>
      <c r="E495">
        <v>2026</v>
      </c>
      <c r="F495" t="s">
        <v>1020</v>
      </c>
      <c r="G495">
        <f t="shared" si="23"/>
        <v>14</v>
      </c>
      <c r="H495">
        <v>29</v>
      </c>
      <c r="I495" t="s">
        <v>84</v>
      </c>
      <c r="J495">
        <v>30</v>
      </c>
      <c r="K495" t="s">
        <v>1336</v>
      </c>
      <c r="L495" t="s">
        <v>1337</v>
      </c>
      <c r="M495" t="str">
        <f t="shared" si="22"/>
        <v>Wednesday</v>
      </c>
    </row>
    <row r="496" spans="1:13" x14ac:dyDescent="0.3">
      <c r="A496" s="4">
        <f t="shared" si="21"/>
        <v>46071</v>
      </c>
      <c r="B496">
        <v>18</v>
      </c>
      <c r="C496" t="s">
        <v>1311</v>
      </c>
      <c r="D496" cm="1">
        <f t="array" ref="D496">_xlfn.SWITCH(C496, "JAN", 1, "FEB", 2, "MAR", 3, "APR", 4,"MAY", 5, "JUN",6, "JUL", 7, "AUG", 8, "SEP", 9, "OCT", 10, "NOV", 11, "DEC", 12, "NO")</f>
        <v>2</v>
      </c>
      <c r="E496">
        <v>2026</v>
      </c>
      <c r="F496" t="s">
        <v>1338</v>
      </c>
      <c r="G496">
        <f t="shared" si="23"/>
        <v>14</v>
      </c>
      <c r="H496">
        <v>5</v>
      </c>
      <c r="I496" t="s">
        <v>84</v>
      </c>
      <c r="J496">
        <v>4000</v>
      </c>
      <c r="K496" t="s">
        <v>1339</v>
      </c>
      <c r="L496" t="s">
        <v>1340</v>
      </c>
      <c r="M496" t="str">
        <f t="shared" si="22"/>
        <v>Wednesday</v>
      </c>
    </row>
    <row r="497" spans="1:13" x14ac:dyDescent="0.3">
      <c r="A497" s="4">
        <f t="shared" si="21"/>
        <v>46070</v>
      </c>
      <c r="B497">
        <v>17</v>
      </c>
      <c r="C497" t="s">
        <v>1311</v>
      </c>
      <c r="D497" cm="1">
        <f t="array" ref="D497">_xlfn.SWITCH(C497, "JAN", 1, "FEB", 2, "MAR", 3, "APR", 4,"MAY", 5, "JUN",6, "JUL", 7, "AUG", 8, "SEP", 9, "OCT", 10, "NOV", 11, "DEC", 12, "NO")</f>
        <v>2</v>
      </c>
      <c r="E497">
        <v>2026</v>
      </c>
      <c r="F497" t="s">
        <v>441</v>
      </c>
      <c r="G497">
        <f t="shared" si="23"/>
        <v>20</v>
      </c>
      <c r="H497">
        <v>3</v>
      </c>
      <c r="I497" t="s">
        <v>12</v>
      </c>
      <c r="J497">
        <v>30</v>
      </c>
      <c r="K497" t="s">
        <v>1341</v>
      </c>
      <c r="L497" t="s">
        <v>1342</v>
      </c>
      <c r="M497" t="str">
        <f t="shared" si="22"/>
        <v>Tuesday</v>
      </c>
    </row>
    <row r="498" spans="1:13" x14ac:dyDescent="0.3">
      <c r="A498" s="4">
        <f t="shared" si="21"/>
        <v>46070</v>
      </c>
      <c r="B498">
        <v>17</v>
      </c>
      <c r="C498" t="s">
        <v>1311</v>
      </c>
      <c r="D498" cm="1">
        <f t="array" ref="D498">_xlfn.SWITCH(C498, "JAN", 1, "FEB", 2, "MAR", 3, "APR", 4,"MAY", 5, "JUN",6, "JUL", 7, "AUG", 8, "SEP", 9, "OCT", 10, "NOV", 11, "DEC", 12, "NO")</f>
        <v>2</v>
      </c>
      <c r="E498">
        <v>2026</v>
      </c>
      <c r="F498" t="s">
        <v>309</v>
      </c>
      <c r="G498">
        <f t="shared" si="23"/>
        <v>18</v>
      </c>
      <c r="H498">
        <v>25</v>
      </c>
      <c r="I498" t="s">
        <v>84</v>
      </c>
      <c r="J498">
        <v>2715</v>
      </c>
      <c r="K498" t="s">
        <v>1343</v>
      </c>
      <c r="L498" t="s">
        <v>1344</v>
      </c>
      <c r="M498" t="str">
        <f t="shared" si="22"/>
        <v>Tuesday</v>
      </c>
    </row>
    <row r="499" spans="1:13" x14ac:dyDescent="0.3">
      <c r="A499" s="4">
        <f t="shared" si="21"/>
        <v>46070</v>
      </c>
      <c r="B499">
        <v>17</v>
      </c>
      <c r="C499" t="s">
        <v>1311</v>
      </c>
      <c r="D499" cm="1">
        <f t="array" ref="D499">_xlfn.SWITCH(C499, "JAN", 1, "FEB", 2, "MAR", 3, "APR", 4,"MAY", 5, "JUN",6, "JUL", 7, "AUG", 8, "SEP", 9, "OCT", 10, "NOV", 11, "DEC", 12, "NO")</f>
        <v>2</v>
      </c>
      <c r="E499">
        <v>2026</v>
      </c>
      <c r="F499" t="s">
        <v>1053</v>
      </c>
      <c r="G499">
        <f t="shared" si="23"/>
        <v>17</v>
      </c>
      <c r="H499">
        <v>31</v>
      </c>
      <c r="I499" t="s">
        <v>12</v>
      </c>
      <c r="J499">
        <v>935</v>
      </c>
      <c r="K499" t="s">
        <v>1345</v>
      </c>
      <c r="L499" t="s">
        <v>1346</v>
      </c>
      <c r="M499" t="str">
        <f t="shared" si="22"/>
        <v>Tuesday</v>
      </c>
    </row>
    <row r="500" spans="1:13" x14ac:dyDescent="0.3">
      <c r="A500" s="4">
        <f t="shared" si="21"/>
        <v>46070</v>
      </c>
      <c r="B500">
        <v>17</v>
      </c>
      <c r="C500" t="s">
        <v>1311</v>
      </c>
      <c r="D500" cm="1">
        <f t="array" ref="D500">_xlfn.SWITCH(C500, "JAN", 1, "FEB", 2, "MAR", 3, "APR", 4,"MAY", 5, "JUN",6, "JUL", 7, "AUG", 8, "SEP", 9, "OCT", 10, "NOV", 11, "DEC", 12, "NO")</f>
        <v>2</v>
      </c>
      <c r="E500">
        <v>2026</v>
      </c>
      <c r="F500" t="s">
        <v>283</v>
      </c>
      <c r="G500">
        <f t="shared" si="23"/>
        <v>16</v>
      </c>
      <c r="H500">
        <v>58</v>
      </c>
      <c r="I500" t="s">
        <v>12</v>
      </c>
      <c r="J500">
        <v>940</v>
      </c>
      <c r="K500" t="s">
        <v>1347</v>
      </c>
      <c r="L500" t="s">
        <v>1348</v>
      </c>
      <c r="M500" t="str">
        <f t="shared" si="22"/>
        <v>Tuesday</v>
      </c>
    </row>
    <row r="501" spans="1:13" x14ac:dyDescent="0.3">
      <c r="A501" s="4">
        <f t="shared" si="21"/>
        <v>46070</v>
      </c>
      <c r="B501">
        <v>17</v>
      </c>
      <c r="C501" t="s">
        <v>1311</v>
      </c>
      <c r="D501" cm="1">
        <f t="array" ref="D501">_xlfn.SWITCH(C501, "JAN", 1, "FEB", 2, "MAR", 3, "APR", 4,"MAY", 5, "JUN",6, "JUL", 7, "AUG", 8, "SEP", 9, "OCT", 10, "NOV", 11, "DEC", 12, "NO")</f>
        <v>2</v>
      </c>
      <c r="E501">
        <v>2026</v>
      </c>
      <c r="F501" t="s">
        <v>1349</v>
      </c>
      <c r="G501">
        <f t="shared" si="23"/>
        <v>16</v>
      </c>
      <c r="H501">
        <v>43</v>
      </c>
      <c r="I501" t="s">
        <v>12</v>
      </c>
      <c r="J501">
        <v>940</v>
      </c>
      <c r="K501" t="s">
        <v>1350</v>
      </c>
      <c r="L501" t="s">
        <v>1351</v>
      </c>
      <c r="M501" t="str">
        <f t="shared" si="22"/>
        <v>Tuesday</v>
      </c>
    </row>
    <row r="502" spans="1:13" x14ac:dyDescent="0.3">
      <c r="A502" s="4">
        <f t="shared" si="21"/>
        <v>46067</v>
      </c>
      <c r="B502">
        <v>14</v>
      </c>
      <c r="C502" t="s">
        <v>1311</v>
      </c>
      <c r="D502" cm="1">
        <f t="array" ref="D502">_xlfn.SWITCH(C502, "JAN", 1, "FEB", 2, "MAR", 3, "APR", 4,"MAY", 5, "JUN",6, "JUL", 7, "AUG", 8, "SEP", 9, "OCT", 10, "NOV", 11, "DEC", 12, "NO")</f>
        <v>2</v>
      </c>
      <c r="E502">
        <v>2026</v>
      </c>
      <c r="F502" t="s">
        <v>931</v>
      </c>
      <c r="G502">
        <f t="shared" si="23"/>
        <v>19</v>
      </c>
      <c r="H502">
        <v>46</v>
      </c>
      <c r="I502" t="s">
        <v>84</v>
      </c>
      <c r="J502">
        <v>153</v>
      </c>
      <c r="K502" t="s">
        <v>1352</v>
      </c>
      <c r="L502" t="s">
        <v>1353</v>
      </c>
      <c r="M502" t="str">
        <f t="shared" si="22"/>
        <v>Saturday</v>
      </c>
    </row>
    <row r="503" spans="1:13" x14ac:dyDescent="0.3">
      <c r="A503" s="4">
        <f t="shared" si="21"/>
        <v>46067</v>
      </c>
      <c r="B503">
        <v>14</v>
      </c>
      <c r="C503" t="s">
        <v>1311</v>
      </c>
      <c r="D503" cm="1">
        <f t="array" ref="D503">_xlfn.SWITCH(C503, "JAN", 1, "FEB", 2, "MAR", 3, "APR", 4,"MAY", 5, "JUN",6, "JUL", 7, "AUG", 8, "SEP", 9, "OCT", 10, "NOV", 11, "DEC", 12, "NO")</f>
        <v>2</v>
      </c>
      <c r="E503">
        <v>2026</v>
      </c>
      <c r="F503" t="s">
        <v>1354</v>
      </c>
      <c r="G503">
        <f t="shared" si="23"/>
        <v>19</v>
      </c>
      <c r="H503">
        <v>18</v>
      </c>
      <c r="I503" t="s">
        <v>84</v>
      </c>
      <c r="J503">
        <v>1810</v>
      </c>
      <c r="K503" t="s">
        <v>1355</v>
      </c>
      <c r="L503" t="s">
        <v>1356</v>
      </c>
      <c r="M503" t="str">
        <f t="shared" si="22"/>
        <v>Saturday</v>
      </c>
    </row>
    <row r="504" spans="1:13" x14ac:dyDescent="0.3">
      <c r="A504" s="4">
        <f t="shared" si="21"/>
        <v>46067</v>
      </c>
      <c r="B504">
        <v>14</v>
      </c>
      <c r="C504" t="s">
        <v>1311</v>
      </c>
      <c r="D504" cm="1">
        <f t="array" ref="D504">_xlfn.SWITCH(C504, "JAN", 1, "FEB", 2, "MAR", 3, "APR", 4,"MAY", 5, "JUN",6, "JUL", 7, "AUG", 8, "SEP", 9, "OCT", 10, "NOV", 11, "DEC", 12, "NO")</f>
        <v>2</v>
      </c>
      <c r="E504">
        <v>2026</v>
      </c>
      <c r="F504" t="s">
        <v>1227</v>
      </c>
      <c r="G504">
        <f t="shared" si="23"/>
        <v>19</v>
      </c>
      <c r="H504">
        <v>14</v>
      </c>
      <c r="I504" t="s">
        <v>12</v>
      </c>
      <c r="J504">
        <v>1000</v>
      </c>
      <c r="K504" t="s">
        <v>1357</v>
      </c>
      <c r="L504" t="s">
        <v>1358</v>
      </c>
      <c r="M504" t="str">
        <f t="shared" si="22"/>
        <v>Saturday</v>
      </c>
    </row>
    <row r="505" spans="1:13" x14ac:dyDescent="0.3">
      <c r="A505" s="4">
        <f t="shared" si="21"/>
        <v>46067</v>
      </c>
      <c r="B505">
        <v>14</v>
      </c>
      <c r="C505" t="s">
        <v>1311</v>
      </c>
      <c r="D505" cm="1">
        <f t="array" ref="D505">_xlfn.SWITCH(C505, "JAN", 1, "FEB", 2, "MAR", 3, "APR", 4,"MAY", 5, "JUN",6, "JUL", 7, "AUG", 8, "SEP", 9, "OCT", 10, "NOV", 11, "DEC", 12, "NO")</f>
        <v>2</v>
      </c>
      <c r="E505">
        <v>2026</v>
      </c>
      <c r="F505" t="s">
        <v>1359</v>
      </c>
      <c r="G505">
        <f t="shared" si="23"/>
        <v>19</v>
      </c>
      <c r="H505">
        <v>7</v>
      </c>
      <c r="I505" t="s">
        <v>12</v>
      </c>
      <c r="J505">
        <v>940</v>
      </c>
      <c r="K505" t="s">
        <v>1360</v>
      </c>
      <c r="L505" t="s">
        <v>1361</v>
      </c>
      <c r="M505" t="str">
        <f t="shared" si="22"/>
        <v>Saturday</v>
      </c>
    </row>
    <row r="506" spans="1:13" x14ac:dyDescent="0.3">
      <c r="A506" s="4">
        <f t="shared" si="21"/>
        <v>46067</v>
      </c>
      <c r="B506">
        <v>14</v>
      </c>
      <c r="C506" t="s">
        <v>1311</v>
      </c>
      <c r="D506" cm="1">
        <f t="array" ref="D506">_xlfn.SWITCH(C506, "JAN", 1, "FEB", 2, "MAR", 3, "APR", 4,"MAY", 5, "JUN",6, "JUL", 7, "AUG", 8, "SEP", 9, "OCT", 10, "NOV", 11, "DEC", 12, "NO")</f>
        <v>2</v>
      </c>
      <c r="E506">
        <v>2026</v>
      </c>
      <c r="F506" t="s">
        <v>155</v>
      </c>
      <c r="G506">
        <f t="shared" si="23"/>
        <v>14</v>
      </c>
      <c r="H506">
        <v>22</v>
      </c>
      <c r="I506" t="s">
        <v>84</v>
      </c>
      <c r="J506">
        <v>2200</v>
      </c>
      <c r="K506" t="s">
        <v>1362</v>
      </c>
      <c r="L506" t="s">
        <v>1363</v>
      </c>
      <c r="M506" t="str">
        <f t="shared" si="22"/>
        <v>Saturday</v>
      </c>
    </row>
    <row r="507" spans="1:13" x14ac:dyDescent="0.3">
      <c r="A507" s="4">
        <f t="shared" si="21"/>
        <v>46066</v>
      </c>
      <c r="B507">
        <v>13</v>
      </c>
      <c r="C507" t="s">
        <v>1311</v>
      </c>
      <c r="D507" cm="1">
        <f t="array" ref="D507">_xlfn.SWITCH(C507, "JAN", 1, "FEB", 2, "MAR", 3, "APR", 4,"MAY", 5, "JUN",6, "JUL", 7, "AUG", 8, "SEP", 9, "OCT", 10, "NOV", 11, "DEC", 12, "NO")</f>
        <v>2</v>
      </c>
      <c r="E507">
        <v>2026</v>
      </c>
      <c r="F507" t="s">
        <v>90</v>
      </c>
      <c r="G507">
        <f t="shared" si="23"/>
        <v>18</v>
      </c>
      <c r="H507">
        <v>38</v>
      </c>
      <c r="I507" t="s">
        <v>12</v>
      </c>
      <c r="J507">
        <v>2200</v>
      </c>
      <c r="K507" t="s">
        <v>1364</v>
      </c>
      <c r="L507" t="s">
        <v>1365</v>
      </c>
      <c r="M507" t="str">
        <f t="shared" si="22"/>
        <v>Friday</v>
      </c>
    </row>
    <row r="508" spans="1:13" x14ac:dyDescent="0.3">
      <c r="A508" s="4">
        <f t="shared" si="21"/>
        <v>46066</v>
      </c>
      <c r="B508">
        <v>13</v>
      </c>
      <c r="C508" t="s">
        <v>1311</v>
      </c>
      <c r="D508" cm="1">
        <f t="array" ref="D508">_xlfn.SWITCH(C508, "JAN", 1, "FEB", 2, "MAR", 3, "APR", 4,"MAY", 5, "JUN",6, "JUL", 7, "AUG", 8, "SEP", 9, "OCT", 10, "NOV", 11, "DEC", 12, "NO")</f>
        <v>2</v>
      </c>
      <c r="E508">
        <v>2026</v>
      </c>
      <c r="F508" t="s">
        <v>404</v>
      </c>
      <c r="G508">
        <f t="shared" si="23"/>
        <v>17</v>
      </c>
      <c r="H508">
        <v>59</v>
      </c>
      <c r="I508" t="s">
        <v>84</v>
      </c>
      <c r="J508">
        <v>2715</v>
      </c>
      <c r="K508" t="s">
        <v>1366</v>
      </c>
      <c r="L508" t="s">
        <v>1367</v>
      </c>
      <c r="M508" t="str">
        <f t="shared" si="22"/>
        <v>Friday</v>
      </c>
    </row>
    <row r="509" spans="1:13" x14ac:dyDescent="0.3">
      <c r="A509" s="4">
        <f t="shared" si="21"/>
        <v>46066</v>
      </c>
      <c r="B509">
        <v>13</v>
      </c>
      <c r="C509" t="s">
        <v>1311</v>
      </c>
      <c r="D509" cm="1">
        <f t="array" ref="D509">_xlfn.SWITCH(C509, "JAN", 1, "FEB", 2, "MAR", 3, "APR", 4,"MAY", 5, "JUN",6, "JUL", 7, "AUG", 8, "SEP", 9, "OCT", 10, "NOV", 11, "DEC", 12, "NO")</f>
        <v>2</v>
      </c>
      <c r="E509">
        <v>2026</v>
      </c>
      <c r="F509" t="s">
        <v>1368</v>
      </c>
      <c r="G509">
        <f t="shared" si="23"/>
        <v>17</v>
      </c>
      <c r="H509">
        <v>20</v>
      </c>
      <c r="I509" t="s">
        <v>12</v>
      </c>
      <c r="J509">
        <v>585</v>
      </c>
      <c r="K509" t="s">
        <v>1369</v>
      </c>
      <c r="L509" t="s">
        <v>1370</v>
      </c>
      <c r="M509" t="str">
        <f t="shared" si="22"/>
        <v>Friday</v>
      </c>
    </row>
    <row r="510" spans="1:13" x14ac:dyDescent="0.3">
      <c r="A510" s="4">
        <f t="shared" si="21"/>
        <v>46066</v>
      </c>
      <c r="B510">
        <v>13</v>
      </c>
      <c r="C510" t="s">
        <v>1311</v>
      </c>
      <c r="D510" cm="1">
        <f t="array" ref="D510">_xlfn.SWITCH(C510, "JAN", 1, "FEB", 2, "MAR", 3, "APR", 4,"MAY", 5, "JUN",6, "JUL", 7, "AUG", 8, "SEP", 9, "OCT", 10, "NOV", 11, "DEC", 12, "NO")</f>
        <v>2</v>
      </c>
      <c r="E510">
        <v>2026</v>
      </c>
      <c r="F510" t="s">
        <v>1371</v>
      </c>
      <c r="G510">
        <f t="shared" si="23"/>
        <v>17</v>
      </c>
      <c r="H510">
        <v>5</v>
      </c>
      <c r="I510" t="s">
        <v>12</v>
      </c>
      <c r="J510">
        <v>990</v>
      </c>
      <c r="K510" t="s">
        <v>1372</v>
      </c>
      <c r="L510" t="s">
        <v>1373</v>
      </c>
      <c r="M510" t="str">
        <f t="shared" si="22"/>
        <v>Friday</v>
      </c>
    </row>
    <row r="511" spans="1:13" x14ac:dyDescent="0.3">
      <c r="A511" s="4">
        <f t="shared" si="21"/>
        <v>46065</v>
      </c>
      <c r="B511">
        <v>12</v>
      </c>
      <c r="C511" t="s">
        <v>1311</v>
      </c>
      <c r="D511" cm="1">
        <f t="array" ref="D511">_xlfn.SWITCH(C511, "JAN", 1, "FEB", 2, "MAR", 3, "APR", 4,"MAY", 5, "JUN",6, "JUL", 7, "AUG", 8, "SEP", 9, "OCT", 10, "NOV", 11, "DEC", 12, "NO")</f>
        <v>2</v>
      </c>
      <c r="E511">
        <v>2026</v>
      </c>
      <c r="F511" t="s">
        <v>1374</v>
      </c>
      <c r="G511">
        <f t="shared" si="23"/>
        <v>20</v>
      </c>
      <c r="H511">
        <v>11</v>
      </c>
      <c r="I511" t="s">
        <v>12</v>
      </c>
      <c r="J511">
        <v>1150</v>
      </c>
      <c r="K511" t="s">
        <v>1375</v>
      </c>
      <c r="L511" t="s">
        <v>1376</v>
      </c>
      <c r="M511" t="str">
        <f t="shared" si="22"/>
        <v>Thursday</v>
      </c>
    </row>
    <row r="512" spans="1:13" x14ac:dyDescent="0.3">
      <c r="A512" s="4">
        <f t="shared" si="21"/>
        <v>46065</v>
      </c>
      <c r="B512">
        <v>12</v>
      </c>
      <c r="C512" t="s">
        <v>1311</v>
      </c>
      <c r="D512" cm="1">
        <f t="array" ref="D512">_xlfn.SWITCH(C512, "JAN", 1, "FEB", 2, "MAR", 3, "APR", 4,"MAY", 5, "JUN",6, "JUL", 7, "AUG", 8, "SEP", 9, "OCT", 10, "NOV", 11, "DEC", 12, "NO")</f>
        <v>2</v>
      </c>
      <c r="E512">
        <v>2026</v>
      </c>
      <c r="F512" t="s">
        <v>1377</v>
      </c>
      <c r="G512">
        <f t="shared" si="23"/>
        <v>18</v>
      </c>
      <c r="H512">
        <v>53</v>
      </c>
      <c r="I512" t="s">
        <v>84</v>
      </c>
      <c r="J512">
        <v>1810</v>
      </c>
      <c r="K512" t="s">
        <v>1378</v>
      </c>
      <c r="L512" t="s">
        <v>1379</v>
      </c>
      <c r="M512" t="str">
        <f t="shared" si="22"/>
        <v>Thursday</v>
      </c>
    </row>
    <row r="513" spans="1:13" x14ac:dyDescent="0.3">
      <c r="A513" s="4">
        <f t="shared" si="21"/>
        <v>46065</v>
      </c>
      <c r="B513">
        <v>12</v>
      </c>
      <c r="C513" t="s">
        <v>1311</v>
      </c>
      <c r="D513" cm="1">
        <f t="array" ref="D513">_xlfn.SWITCH(C513, "JAN", 1, "FEB", 2, "MAR", 3, "APR", 4,"MAY", 5, "JUN",6, "JUL", 7, "AUG", 8, "SEP", 9, "OCT", 10, "NOV", 11, "DEC", 12, "NO")</f>
        <v>2</v>
      </c>
      <c r="E513">
        <v>2026</v>
      </c>
      <c r="F513" t="s">
        <v>99</v>
      </c>
      <c r="G513">
        <f t="shared" si="23"/>
        <v>17</v>
      </c>
      <c r="H513">
        <v>55</v>
      </c>
      <c r="I513" t="s">
        <v>12</v>
      </c>
      <c r="J513">
        <v>950</v>
      </c>
      <c r="K513" t="s">
        <v>1380</v>
      </c>
      <c r="L513" t="s">
        <v>1381</v>
      </c>
      <c r="M513" t="str">
        <f t="shared" si="22"/>
        <v>Thursday</v>
      </c>
    </row>
    <row r="514" spans="1:13" x14ac:dyDescent="0.3">
      <c r="A514" s="4">
        <f t="shared" ref="A514:A577" si="24">DATE(E514, D514, B514)</f>
        <v>46065</v>
      </c>
      <c r="B514">
        <v>12</v>
      </c>
      <c r="C514" t="s">
        <v>1311</v>
      </c>
      <c r="D514" cm="1">
        <f t="array" ref="D514">_xlfn.SWITCH(C514, "JAN", 1, "FEB", 2, "MAR", 3, "APR", 4,"MAY", 5, "JUN",6, "JUL", 7, "AUG", 8, "SEP", 9, "OCT", 10, "NOV", 11, "DEC", 12, "NO")</f>
        <v>2</v>
      </c>
      <c r="E514">
        <v>2026</v>
      </c>
      <c r="F514" t="s">
        <v>277</v>
      </c>
      <c r="G514">
        <f t="shared" si="23"/>
        <v>17</v>
      </c>
      <c r="H514">
        <v>30</v>
      </c>
      <c r="I514" t="s">
        <v>12</v>
      </c>
      <c r="J514">
        <v>950</v>
      </c>
      <c r="K514" t="s">
        <v>1382</v>
      </c>
      <c r="L514" t="s">
        <v>1383</v>
      </c>
      <c r="M514" t="str">
        <f t="shared" ref="M514:M577" si="25">TEXT(A514, "DDDD")</f>
        <v>Thursday</v>
      </c>
    </row>
    <row r="515" spans="1:13" x14ac:dyDescent="0.3">
      <c r="A515" s="4">
        <f t="shared" si="24"/>
        <v>46061</v>
      </c>
      <c r="B515">
        <v>8</v>
      </c>
      <c r="C515" t="s">
        <v>1311</v>
      </c>
      <c r="D515" cm="1">
        <f t="array" ref="D515">_xlfn.SWITCH(C515, "JAN", 1, "FEB", 2, "MAR", 3, "APR", 4,"MAY", 5, "JUN",6, "JUL", 7, "AUG", 8, "SEP", 9, "OCT", 10, "NOV", 11, "DEC", 12, "NO")</f>
        <v>2</v>
      </c>
      <c r="E515">
        <v>2026</v>
      </c>
      <c r="F515" t="s">
        <v>1384</v>
      </c>
      <c r="G515">
        <f t="shared" ref="G515:G578" si="26">HOUR(F515)</f>
        <v>15</v>
      </c>
      <c r="H515">
        <v>51</v>
      </c>
      <c r="I515" t="s">
        <v>12</v>
      </c>
      <c r="J515">
        <v>1000</v>
      </c>
      <c r="K515" t="s">
        <v>1385</v>
      </c>
      <c r="L515" t="s">
        <v>1386</v>
      </c>
      <c r="M515" t="str">
        <f t="shared" si="25"/>
        <v>Sunday</v>
      </c>
    </row>
    <row r="516" spans="1:13" x14ac:dyDescent="0.3">
      <c r="A516" s="4">
        <f t="shared" si="24"/>
        <v>46060</v>
      </c>
      <c r="B516">
        <v>7</v>
      </c>
      <c r="C516" t="s">
        <v>1311</v>
      </c>
      <c r="D516" cm="1">
        <f t="array" ref="D516">_xlfn.SWITCH(C516, "JAN", 1, "FEB", 2, "MAR", 3, "APR", 4,"MAY", 5, "JUN",6, "JUL", 7, "AUG", 8, "SEP", 9, "OCT", 10, "NOV", 11, "DEC", 12, "NO")</f>
        <v>2</v>
      </c>
      <c r="E516">
        <v>2026</v>
      </c>
      <c r="F516" t="s">
        <v>1387</v>
      </c>
      <c r="G516">
        <f t="shared" si="26"/>
        <v>21</v>
      </c>
      <c r="H516">
        <v>13</v>
      </c>
      <c r="I516" t="s">
        <v>84</v>
      </c>
      <c r="J516">
        <v>1000</v>
      </c>
      <c r="K516" t="s">
        <v>1388</v>
      </c>
      <c r="L516" t="s">
        <v>1389</v>
      </c>
      <c r="M516" t="str">
        <f t="shared" si="25"/>
        <v>Saturday</v>
      </c>
    </row>
    <row r="517" spans="1:13" x14ac:dyDescent="0.3">
      <c r="A517" s="4">
        <f t="shared" si="24"/>
        <v>46060</v>
      </c>
      <c r="B517">
        <v>7</v>
      </c>
      <c r="C517" t="s">
        <v>1311</v>
      </c>
      <c r="D517" cm="1">
        <f t="array" ref="D517">_xlfn.SWITCH(C517, "JAN", 1, "FEB", 2, "MAR", 3, "APR", 4,"MAY", 5, "JUN",6, "JUL", 7, "AUG", 8, "SEP", 9, "OCT", 10, "NOV", 11, "DEC", 12, "NO")</f>
        <v>2</v>
      </c>
      <c r="E517">
        <v>2026</v>
      </c>
      <c r="F517" t="s">
        <v>1292</v>
      </c>
      <c r="G517">
        <f t="shared" si="26"/>
        <v>19</v>
      </c>
      <c r="H517">
        <v>27</v>
      </c>
      <c r="I517" t="s">
        <v>84</v>
      </c>
      <c r="J517">
        <v>30</v>
      </c>
      <c r="K517" t="s">
        <v>1390</v>
      </c>
      <c r="L517" t="s">
        <v>1391</v>
      </c>
      <c r="M517" t="str">
        <f t="shared" si="25"/>
        <v>Saturday</v>
      </c>
    </row>
    <row r="518" spans="1:13" x14ac:dyDescent="0.3">
      <c r="A518" s="4">
        <f t="shared" si="24"/>
        <v>46060</v>
      </c>
      <c r="B518">
        <v>7</v>
      </c>
      <c r="C518" t="s">
        <v>1311</v>
      </c>
      <c r="D518" cm="1">
        <f t="array" ref="D518">_xlfn.SWITCH(C518, "JAN", 1, "FEB", 2, "MAR", 3, "APR", 4,"MAY", 5, "JUN",6, "JUL", 7, "AUG", 8, "SEP", 9, "OCT", 10, "NOV", 11, "DEC", 12, "NO")</f>
        <v>2</v>
      </c>
      <c r="E518">
        <v>2026</v>
      </c>
      <c r="F518" t="s">
        <v>1392</v>
      </c>
      <c r="G518">
        <f t="shared" si="26"/>
        <v>18</v>
      </c>
      <c r="H518">
        <v>3</v>
      </c>
      <c r="I518" t="s">
        <v>84</v>
      </c>
      <c r="J518">
        <v>140</v>
      </c>
      <c r="K518" t="s">
        <v>1393</v>
      </c>
      <c r="L518" t="s">
        <v>1394</v>
      </c>
      <c r="M518" t="str">
        <f t="shared" si="25"/>
        <v>Saturday</v>
      </c>
    </row>
    <row r="519" spans="1:13" x14ac:dyDescent="0.3">
      <c r="A519" s="4">
        <f t="shared" si="24"/>
        <v>46060</v>
      </c>
      <c r="B519">
        <v>7</v>
      </c>
      <c r="C519" t="s">
        <v>1311</v>
      </c>
      <c r="D519" cm="1">
        <f t="array" ref="D519">_xlfn.SWITCH(C519, "JAN", 1, "FEB", 2, "MAR", 3, "APR", 4,"MAY", 5, "JUN",6, "JUL", 7, "AUG", 8, "SEP", 9, "OCT", 10, "NOV", 11, "DEC", 12, "NO")</f>
        <v>2</v>
      </c>
      <c r="E519">
        <v>2026</v>
      </c>
      <c r="F519" t="s">
        <v>1395</v>
      </c>
      <c r="G519">
        <f t="shared" si="26"/>
        <v>13</v>
      </c>
      <c r="H519">
        <v>0</v>
      </c>
      <c r="I519" t="s">
        <v>84</v>
      </c>
      <c r="J519">
        <v>1500</v>
      </c>
      <c r="K519" t="s">
        <v>1396</v>
      </c>
      <c r="L519" t="s">
        <v>1397</v>
      </c>
      <c r="M519" t="str">
        <f t="shared" si="25"/>
        <v>Saturday</v>
      </c>
    </row>
    <row r="520" spans="1:13" x14ac:dyDescent="0.3">
      <c r="A520" s="4">
        <f t="shared" si="24"/>
        <v>46059</v>
      </c>
      <c r="B520">
        <v>6</v>
      </c>
      <c r="C520" t="s">
        <v>1311</v>
      </c>
      <c r="D520" cm="1">
        <f t="array" ref="D520">_xlfn.SWITCH(C520, "JAN", 1, "FEB", 2, "MAR", 3, "APR", 4,"MAY", 5, "JUN",6, "JUL", 7, "AUG", 8, "SEP", 9, "OCT", 10, "NOV", 11, "DEC", 12, "NO")</f>
        <v>2</v>
      </c>
      <c r="E520">
        <v>2026</v>
      </c>
      <c r="F520" t="s">
        <v>634</v>
      </c>
      <c r="G520">
        <f t="shared" si="26"/>
        <v>18</v>
      </c>
      <c r="H520">
        <v>7</v>
      </c>
      <c r="I520" t="s">
        <v>12</v>
      </c>
      <c r="J520">
        <v>410</v>
      </c>
      <c r="K520" t="s">
        <v>1398</v>
      </c>
      <c r="L520" t="s">
        <v>1399</v>
      </c>
      <c r="M520" t="str">
        <f t="shared" si="25"/>
        <v>Friday</v>
      </c>
    </row>
    <row r="521" spans="1:13" x14ac:dyDescent="0.3">
      <c r="A521" s="4">
        <f t="shared" si="24"/>
        <v>46059</v>
      </c>
      <c r="B521">
        <v>6</v>
      </c>
      <c r="C521" t="s">
        <v>1311</v>
      </c>
      <c r="D521" cm="1">
        <f t="array" ref="D521">_xlfn.SWITCH(C521, "JAN", 1, "FEB", 2, "MAR", 3, "APR", 4,"MAY", 5, "JUN",6, "JUL", 7, "AUG", 8, "SEP", 9, "OCT", 10, "NOV", 11, "DEC", 12, "NO")</f>
        <v>2</v>
      </c>
      <c r="E521">
        <v>2026</v>
      </c>
      <c r="F521" t="s">
        <v>771</v>
      </c>
      <c r="G521">
        <f t="shared" si="26"/>
        <v>14</v>
      </c>
      <c r="H521">
        <v>21</v>
      </c>
      <c r="I521" t="s">
        <v>84</v>
      </c>
      <c r="J521">
        <v>500</v>
      </c>
      <c r="K521" t="s">
        <v>1400</v>
      </c>
      <c r="L521" t="s">
        <v>1401</v>
      </c>
      <c r="M521" t="str">
        <f t="shared" si="25"/>
        <v>Friday</v>
      </c>
    </row>
    <row r="522" spans="1:13" x14ac:dyDescent="0.3">
      <c r="A522" s="4">
        <f t="shared" si="24"/>
        <v>46058</v>
      </c>
      <c r="B522">
        <v>5</v>
      </c>
      <c r="C522" t="s">
        <v>1311</v>
      </c>
      <c r="D522" cm="1">
        <f t="array" ref="D522">_xlfn.SWITCH(C522, "JAN", 1, "FEB", 2, "MAR", 3, "APR", 4,"MAY", 5, "JUN",6, "JUL", 7, "AUG", 8, "SEP", 9, "OCT", 10, "NOV", 11, "DEC", 12, "NO")</f>
        <v>2</v>
      </c>
      <c r="E522">
        <v>2026</v>
      </c>
      <c r="F522" t="s">
        <v>240</v>
      </c>
      <c r="G522">
        <f t="shared" si="26"/>
        <v>18</v>
      </c>
      <c r="H522">
        <v>31</v>
      </c>
      <c r="I522" t="s">
        <v>84</v>
      </c>
      <c r="J522">
        <v>70</v>
      </c>
      <c r="K522" t="s">
        <v>1402</v>
      </c>
      <c r="L522" t="s">
        <v>1403</v>
      </c>
      <c r="M522" t="str">
        <f t="shared" si="25"/>
        <v>Thursday</v>
      </c>
    </row>
    <row r="523" spans="1:13" x14ac:dyDescent="0.3">
      <c r="A523" s="4">
        <f t="shared" si="24"/>
        <v>46057</v>
      </c>
      <c r="B523">
        <v>4</v>
      </c>
      <c r="C523" t="s">
        <v>1311</v>
      </c>
      <c r="D523" cm="1">
        <f t="array" ref="D523">_xlfn.SWITCH(C523, "JAN", 1, "FEB", 2, "MAR", 3, "APR", 4,"MAY", 5, "JUN",6, "JUL", 7, "AUG", 8, "SEP", 9, "OCT", 10, "NOV", 11, "DEC", 12, "NO")</f>
        <v>2</v>
      </c>
      <c r="E523">
        <v>2026</v>
      </c>
      <c r="F523" t="s">
        <v>1404</v>
      </c>
      <c r="G523">
        <f t="shared" si="26"/>
        <v>19</v>
      </c>
      <c r="H523">
        <v>6</v>
      </c>
      <c r="I523" t="s">
        <v>84</v>
      </c>
      <c r="J523">
        <v>100</v>
      </c>
      <c r="K523" t="s">
        <v>1405</v>
      </c>
      <c r="L523" t="s">
        <v>1406</v>
      </c>
      <c r="M523" t="str">
        <f t="shared" si="25"/>
        <v>Wednesday</v>
      </c>
    </row>
    <row r="524" spans="1:13" x14ac:dyDescent="0.3">
      <c r="A524" s="4">
        <f t="shared" si="24"/>
        <v>46055</v>
      </c>
      <c r="B524">
        <v>2</v>
      </c>
      <c r="C524" t="s">
        <v>1311</v>
      </c>
      <c r="D524" cm="1">
        <f t="array" ref="D524">_xlfn.SWITCH(C524, "JAN", 1, "FEB", 2, "MAR", 3, "APR", 4,"MAY", 5, "JUN",6, "JUL", 7, "AUG", 8, "SEP", 9, "OCT", 10, "NOV", 11, "DEC", 12, "NO")</f>
        <v>2</v>
      </c>
      <c r="E524">
        <v>2026</v>
      </c>
      <c r="F524" t="s">
        <v>1102</v>
      </c>
      <c r="G524">
        <f t="shared" si="26"/>
        <v>19</v>
      </c>
      <c r="H524">
        <v>44</v>
      </c>
      <c r="I524" t="s">
        <v>84</v>
      </c>
      <c r="J524">
        <v>600</v>
      </c>
      <c r="K524" t="s">
        <v>1407</v>
      </c>
      <c r="L524" t="s">
        <v>1408</v>
      </c>
      <c r="M524" t="str">
        <f t="shared" si="25"/>
        <v>Monday</v>
      </c>
    </row>
    <row r="525" spans="1:13" x14ac:dyDescent="0.3">
      <c r="A525" s="4">
        <f t="shared" si="24"/>
        <v>46054</v>
      </c>
      <c r="B525">
        <v>1</v>
      </c>
      <c r="C525" t="s">
        <v>1311</v>
      </c>
      <c r="D525" cm="1">
        <f t="array" ref="D525">_xlfn.SWITCH(C525, "JAN", 1, "FEB", 2, "MAR", 3, "APR", 4,"MAY", 5, "JUN",6, "JUL", 7, "AUG", 8, "SEP", 9, "OCT", 10, "NOV", 11, "DEC", 12, "NO")</f>
        <v>2</v>
      </c>
      <c r="E525">
        <v>2026</v>
      </c>
      <c r="F525" t="s">
        <v>1409</v>
      </c>
      <c r="G525">
        <f t="shared" si="26"/>
        <v>16</v>
      </c>
      <c r="H525">
        <v>14</v>
      </c>
      <c r="I525" t="s">
        <v>12</v>
      </c>
      <c r="J525">
        <v>1100</v>
      </c>
      <c r="K525" t="s">
        <v>1410</v>
      </c>
      <c r="L525" t="s">
        <v>1411</v>
      </c>
      <c r="M525" t="str">
        <f t="shared" si="25"/>
        <v>Sunday</v>
      </c>
    </row>
    <row r="526" spans="1:13" x14ac:dyDescent="0.3">
      <c r="A526" s="4">
        <f t="shared" si="24"/>
        <v>46054</v>
      </c>
      <c r="B526">
        <v>1</v>
      </c>
      <c r="C526" t="s">
        <v>1311</v>
      </c>
      <c r="D526" cm="1">
        <f t="array" ref="D526">_xlfn.SWITCH(C526, "JAN", 1, "FEB", 2, "MAR", 3, "APR", 4,"MAY", 5, "JUN",6, "JUL", 7, "AUG", 8, "SEP", 9, "OCT", 10, "NOV", 11, "DEC", 12, "NO")</f>
        <v>2</v>
      </c>
      <c r="E526">
        <v>2026</v>
      </c>
      <c r="F526" t="s">
        <v>226</v>
      </c>
      <c r="G526">
        <f t="shared" si="26"/>
        <v>0</v>
      </c>
      <c r="H526">
        <v>7</v>
      </c>
      <c r="I526" t="s">
        <v>12</v>
      </c>
      <c r="J526">
        <v>1000</v>
      </c>
      <c r="K526" t="s">
        <v>1412</v>
      </c>
      <c r="L526" t="s">
        <v>1413</v>
      </c>
      <c r="M526" t="str">
        <f t="shared" si="25"/>
        <v>Sunday</v>
      </c>
    </row>
    <row r="527" spans="1:13" x14ac:dyDescent="0.3">
      <c r="A527" s="4">
        <f t="shared" si="24"/>
        <v>46053</v>
      </c>
      <c r="B527">
        <v>31</v>
      </c>
      <c r="C527" t="s">
        <v>1414</v>
      </c>
      <c r="D527" cm="1">
        <f t="array" ref="D527">_xlfn.SWITCH(C527, "JAN", 1, "FEB", 2, "MAR", 3, "APR", 4,"MAY", 5, "JUN",6, "JUL", 7, "AUG", 8, "SEP", 9, "OCT", 10, "NOV", 11, "DEC", 12, "NO")</f>
        <v>1</v>
      </c>
      <c r="E527">
        <v>2026</v>
      </c>
      <c r="F527" t="s">
        <v>1211</v>
      </c>
      <c r="G527">
        <f t="shared" si="26"/>
        <v>19</v>
      </c>
      <c r="H527">
        <v>15</v>
      </c>
      <c r="I527" t="s">
        <v>84</v>
      </c>
      <c r="J527">
        <v>1100</v>
      </c>
      <c r="K527" t="s">
        <v>1415</v>
      </c>
      <c r="L527" t="s">
        <v>1416</v>
      </c>
      <c r="M527" t="str">
        <f t="shared" si="25"/>
        <v>Saturday</v>
      </c>
    </row>
    <row r="528" spans="1:13" x14ac:dyDescent="0.3">
      <c r="A528" s="4">
        <f t="shared" si="24"/>
        <v>46050</v>
      </c>
      <c r="B528">
        <v>28</v>
      </c>
      <c r="C528" t="s">
        <v>1414</v>
      </c>
      <c r="D528" cm="1">
        <f t="array" ref="D528">_xlfn.SWITCH(C528, "JAN", 1, "FEB", 2, "MAR", 3, "APR", 4,"MAY", 5, "JUN",6, "JUL", 7, "AUG", 8, "SEP", 9, "OCT", 10, "NOV", 11, "DEC", 12, "NO")</f>
        <v>1</v>
      </c>
      <c r="E528">
        <v>2026</v>
      </c>
      <c r="F528" t="s">
        <v>1417</v>
      </c>
      <c r="G528">
        <f t="shared" si="26"/>
        <v>17</v>
      </c>
      <c r="H528">
        <v>46</v>
      </c>
      <c r="I528" t="s">
        <v>12</v>
      </c>
      <c r="J528">
        <v>3000</v>
      </c>
      <c r="K528" t="s">
        <v>1418</v>
      </c>
      <c r="L528" t="s">
        <v>1419</v>
      </c>
      <c r="M528" t="str">
        <f t="shared" si="25"/>
        <v>Wednesday</v>
      </c>
    </row>
    <row r="529" spans="1:13" x14ac:dyDescent="0.3">
      <c r="A529" s="4">
        <f t="shared" si="24"/>
        <v>46050</v>
      </c>
      <c r="B529">
        <v>28</v>
      </c>
      <c r="C529" t="s">
        <v>1414</v>
      </c>
      <c r="D529" cm="1">
        <f t="array" ref="D529">_xlfn.SWITCH(C529, "JAN", 1, "FEB", 2, "MAR", 3, "APR", 4,"MAY", 5, "JUN",6, "JUL", 7, "AUG", 8, "SEP", 9, "OCT", 10, "NOV", 11, "DEC", 12, "NO")</f>
        <v>1</v>
      </c>
      <c r="E529">
        <v>2026</v>
      </c>
      <c r="F529" t="s">
        <v>1420</v>
      </c>
      <c r="G529">
        <f t="shared" si="26"/>
        <v>10</v>
      </c>
      <c r="H529">
        <v>11</v>
      </c>
      <c r="I529" t="s">
        <v>84</v>
      </c>
      <c r="J529">
        <v>1000</v>
      </c>
      <c r="K529" t="s">
        <v>1421</v>
      </c>
      <c r="L529" t="s">
        <v>1422</v>
      </c>
      <c r="M529" t="str">
        <f t="shared" si="25"/>
        <v>Wednesday</v>
      </c>
    </row>
    <row r="530" spans="1:13" x14ac:dyDescent="0.3">
      <c r="A530" s="4">
        <f t="shared" si="24"/>
        <v>46048</v>
      </c>
      <c r="B530">
        <v>26</v>
      </c>
      <c r="C530" t="s">
        <v>1414</v>
      </c>
      <c r="D530" cm="1">
        <f t="array" ref="D530">_xlfn.SWITCH(C530, "JAN", 1, "FEB", 2, "MAR", 3, "APR", 4,"MAY", 5, "JUN",6, "JUL", 7, "AUG", 8, "SEP", 9, "OCT", 10, "NOV", 11, "DEC", 12, "NO")</f>
        <v>1</v>
      </c>
      <c r="E530">
        <v>2026</v>
      </c>
      <c r="F530" t="s">
        <v>1423</v>
      </c>
      <c r="G530">
        <f t="shared" si="26"/>
        <v>14</v>
      </c>
      <c r="H530">
        <v>46</v>
      </c>
      <c r="I530" t="s">
        <v>12</v>
      </c>
      <c r="J530">
        <v>10000</v>
      </c>
      <c r="K530" t="s">
        <v>1424</v>
      </c>
      <c r="L530" t="s">
        <v>1425</v>
      </c>
      <c r="M530" t="str">
        <f t="shared" si="25"/>
        <v>Monday</v>
      </c>
    </row>
    <row r="531" spans="1:13" x14ac:dyDescent="0.3">
      <c r="A531" s="4">
        <f t="shared" si="24"/>
        <v>46048</v>
      </c>
      <c r="B531">
        <v>26</v>
      </c>
      <c r="C531" t="s">
        <v>1414</v>
      </c>
      <c r="D531" cm="1">
        <f t="array" ref="D531">_xlfn.SWITCH(C531, "JAN", 1, "FEB", 2, "MAR", 3, "APR", 4,"MAY", 5, "JUN",6, "JUL", 7, "AUG", 8, "SEP", 9, "OCT", 10, "NOV", 11, "DEC", 12, "NO")</f>
        <v>1</v>
      </c>
      <c r="E531">
        <v>2026</v>
      </c>
      <c r="F531" t="s">
        <v>1423</v>
      </c>
      <c r="G531">
        <f t="shared" si="26"/>
        <v>14</v>
      </c>
      <c r="H531">
        <v>46</v>
      </c>
      <c r="I531" t="s">
        <v>12</v>
      </c>
      <c r="J531">
        <v>6300</v>
      </c>
      <c r="K531" t="s">
        <v>1426</v>
      </c>
      <c r="L531" t="s">
        <v>1427</v>
      </c>
      <c r="M531" t="str">
        <f t="shared" si="25"/>
        <v>Monday</v>
      </c>
    </row>
    <row r="532" spans="1:13" x14ac:dyDescent="0.3">
      <c r="A532" s="4">
        <f t="shared" si="24"/>
        <v>46047</v>
      </c>
      <c r="B532">
        <v>25</v>
      </c>
      <c r="C532" t="s">
        <v>1414</v>
      </c>
      <c r="D532" cm="1">
        <f t="array" ref="D532">_xlfn.SWITCH(C532, "JAN", 1, "FEB", 2, "MAR", 3, "APR", 4,"MAY", 5, "JUN",6, "JUL", 7, "AUG", 8, "SEP", 9, "OCT", 10, "NOV", 11, "DEC", 12, "NO")</f>
        <v>1</v>
      </c>
      <c r="E532">
        <v>2026</v>
      </c>
      <c r="F532" t="s">
        <v>39</v>
      </c>
      <c r="G532">
        <f t="shared" si="26"/>
        <v>11</v>
      </c>
      <c r="H532">
        <v>5</v>
      </c>
      <c r="I532" t="s">
        <v>12</v>
      </c>
      <c r="J532">
        <v>250</v>
      </c>
      <c r="K532" t="s">
        <v>1428</v>
      </c>
      <c r="L532" t="s">
        <v>1429</v>
      </c>
      <c r="M532" t="str">
        <f t="shared" si="25"/>
        <v>Sunday</v>
      </c>
    </row>
    <row r="533" spans="1:13" x14ac:dyDescent="0.3">
      <c r="A533" s="4">
        <f t="shared" si="24"/>
        <v>46046</v>
      </c>
      <c r="B533">
        <v>24</v>
      </c>
      <c r="C533" t="s">
        <v>1414</v>
      </c>
      <c r="D533" cm="1">
        <f t="array" ref="D533">_xlfn.SWITCH(C533, "JAN", 1, "FEB", 2, "MAR", 3, "APR", 4,"MAY", 5, "JUN",6, "JUL", 7, "AUG", 8, "SEP", 9, "OCT", 10, "NOV", 11, "DEC", 12, "NO")</f>
        <v>1</v>
      </c>
      <c r="E533">
        <v>2026</v>
      </c>
      <c r="F533" t="s">
        <v>367</v>
      </c>
      <c r="G533">
        <f t="shared" si="26"/>
        <v>13</v>
      </c>
      <c r="H533">
        <v>57</v>
      </c>
      <c r="I533" t="s">
        <v>84</v>
      </c>
      <c r="J533">
        <v>12140</v>
      </c>
      <c r="K533" t="s">
        <v>1430</v>
      </c>
      <c r="L533" t="s">
        <v>1431</v>
      </c>
      <c r="M533" t="str">
        <f t="shared" si="25"/>
        <v>Saturday</v>
      </c>
    </row>
    <row r="534" spans="1:13" x14ac:dyDescent="0.3">
      <c r="A534" s="4">
        <f t="shared" si="24"/>
        <v>46046</v>
      </c>
      <c r="B534">
        <v>24</v>
      </c>
      <c r="C534" t="s">
        <v>1414</v>
      </c>
      <c r="D534" cm="1">
        <f t="array" ref="D534">_xlfn.SWITCH(C534, "JAN", 1, "FEB", 2, "MAR", 3, "APR", 4,"MAY", 5, "JUN",6, "JUL", 7, "AUG", 8, "SEP", 9, "OCT", 10, "NOV", 11, "DEC", 12, "NO")</f>
        <v>1</v>
      </c>
      <c r="E534">
        <v>2026</v>
      </c>
      <c r="F534" t="s">
        <v>1432</v>
      </c>
      <c r="G534">
        <f t="shared" si="26"/>
        <v>11</v>
      </c>
      <c r="H534">
        <v>55</v>
      </c>
      <c r="I534" t="s">
        <v>84</v>
      </c>
      <c r="J534">
        <v>190</v>
      </c>
      <c r="K534" t="s">
        <v>1433</v>
      </c>
      <c r="L534" t="s">
        <v>1434</v>
      </c>
      <c r="M534" t="str">
        <f t="shared" si="25"/>
        <v>Saturday</v>
      </c>
    </row>
    <row r="535" spans="1:13" x14ac:dyDescent="0.3">
      <c r="A535" s="4">
        <f t="shared" si="24"/>
        <v>46046</v>
      </c>
      <c r="B535">
        <v>24</v>
      </c>
      <c r="C535" t="s">
        <v>1414</v>
      </c>
      <c r="D535" cm="1">
        <f t="array" ref="D535">_xlfn.SWITCH(C535, "JAN", 1, "FEB", 2, "MAR", 3, "APR", 4,"MAY", 5, "JUN",6, "JUL", 7, "AUG", 8, "SEP", 9, "OCT", 10, "NOV", 11, "DEC", 12, "NO")</f>
        <v>1</v>
      </c>
      <c r="E535">
        <v>2026</v>
      </c>
      <c r="F535" t="s">
        <v>1435</v>
      </c>
      <c r="G535">
        <f t="shared" si="26"/>
        <v>10</v>
      </c>
      <c r="H535">
        <v>46</v>
      </c>
      <c r="I535" t="s">
        <v>12</v>
      </c>
      <c r="J535">
        <v>700</v>
      </c>
      <c r="K535" t="s">
        <v>1436</v>
      </c>
      <c r="L535" t="s">
        <v>1437</v>
      </c>
      <c r="M535" t="str">
        <f t="shared" si="25"/>
        <v>Saturday</v>
      </c>
    </row>
    <row r="536" spans="1:13" x14ac:dyDescent="0.3">
      <c r="A536" s="4">
        <f t="shared" si="24"/>
        <v>46046</v>
      </c>
      <c r="B536">
        <v>24</v>
      </c>
      <c r="C536" t="s">
        <v>1414</v>
      </c>
      <c r="D536" cm="1">
        <f t="array" ref="D536">_xlfn.SWITCH(C536, "JAN", 1, "FEB", 2, "MAR", 3, "APR", 4,"MAY", 5, "JUN",6, "JUL", 7, "AUG", 8, "SEP", 9, "OCT", 10, "NOV", 11, "DEC", 12, "NO")</f>
        <v>1</v>
      </c>
      <c r="E536">
        <v>2026</v>
      </c>
      <c r="F536" t="s">
        <v>1438</v>
      </c>
      <c r="G536">
        <f t="shared" si="26"/>
        <v>10</v>
      </c>
      <c r="H536">
        <v>14</v>
      </c>
      <c r="I536" t="s">
        <v>84</v>
      </c>
      <c r="J536">
        <v>30000</v>
      </c>
      <c r="K536" t="s">
        <v>1439</v>
      </c>
      <c r="L536" t="s">
        <v>1440</v>
      </c>
      <c r="M536" t="str">
        <f t="shared" si="25"/>
        <v>Saturday</v>
      </c>
    </row>
    <row r="537" spans="1:13" x14ac:dyDescent="0.3">
      <c r="A537" s="4">
        <f t="shared" si="24"/>
        <v>46045</v>
      </c>
      <c r="B537">
        <v>23</v>
      </c>
      <c r="C537" t="s">
        <v>1414</v>
      </c>
      <c r="D537" cm="1">
        <f t="array" ref="D537">_xlfn.SWITCH(C537, "JAN", 1, "FEB", 2, "MAR", 3, "APR", 4,"MAY", 5, "JUN",6, "JUL", 7, "AUG", 8, "SEP", 9, "OCT", 10, "NOV", 11, "DEC", 12, "NO")</f>
        <v>1</v>
      </c>
      <c r="E537">
        <v>2026</v>
      </c>
      <c r="F537" t="s">
        <v>581</v>
      </c>
      <c r="G537">
        <f t="shared" si="26"/>
        <v>16</v>
      </c>
      <c r="H537">
        <v>11</v>
      </c>
      <c r="I537" t="s">
        <v>12</v>
      </c>
      <c r="J537">
        <v>12150</v>
      </c>
      <c r="K537" t="s">
        <v>1441</v>
      </c>
      <c r="L537" t="s">
        <v>1442</v>
      </c>
      <c r="M537" t="str">
        <f t="shared" si="25"/>
        <v>Friday</v>
      </c>
    </row>
    <row r="538" spans="1:13" x14ac:dyDescent="0.3">
      <c r="A538" s="4">
        <f t="shared" si="24"/>
        <v>46042</v>
      </c>
      <c r="B538">
        <v>20</v>
      </c>
      <c r="C538" t="s">
        <v>1414</v>
      </c>
      <c r="D538" cm="1">
        <f t="array" ref="D538">_xlfn.SWITCH(C538, "JAN", 1, "FEB", 2, "MAR", 3, "APR", 4,"MAY", 5, "JUN",6, "JUL", 7, "AUG", 8, "SEP", 9, "OCT", 10, "NOV", 11, "DEC", 12, "NO")</f>
        <v>1</v>
      </c>
      <c r="E538">
        <v>2026</v>
      </c>
      <c r="F538" t="s">
        <v>1443</v>
      </c>
      <c r="G538">
        <f t="shared" si="26"/>
        <v>8</v>
      </c>
      <c r="H538">
        <v>45</v>
      </c>
      <c r="I538" t="s">
        <v>12</v>
      </c>
      <c r="J538">
        <v>2000</v>
      </c>
      <c r="K538" t="s">
        <v>1444</v>
      </c>
      <c r="L538" t="s">
        <v>1445</v>
      </c>
      <c r="M538" t="str">
        <f t="shared" si="25"/>
        <v>Tuesday</v>
      </c>
    </row>
    <row r="539" spans="1:13" x14ac:dyDescent="0.3">
      <c r="A539" s="4">
        <f t="shared" si="24"/>
        <v>46040</v>
      </c>
      <c r="B539">
        <v>18</v>
      </c>
      <c r="C539" t="s">
        <v>1414</v>
      </c>
      <c r="D539" cm="1">
        <f t="array" ref="D539">_xlfn.SWITCH(C539, "JAN", 1, "FEB", 2, "MAR", 3, "APR", 4,"MAY", 5, "JUN",6, "JUL", 7, "AUG", 8, "SEP", 9, "OCT", 10, "NOV", 11, "DEC", 12, "NO")</f>
        <v>1</v>
      </c>
      <c r="E539">
        <v>2026</v>
      </c>
      <c r="F539" t="s">
        <v>312</v>
      </c>
      <c r="G539">
        <f t="shared" si="26"/>
        <v>18</v>
      </c>
      <c r="H539">
        <v>24</v>
      </c>
      <c r="I539" t="s">
        <v>84</v>
      </c>
      <c r="J539">
        <v>3</v>
      </c>
      <c r="K539" t="s">
        <v>1446</v>
      </c>
      <c r="L539" t="s">
        <v>1447</v>
      </c>
      <c r="M539" t="str">
        <f t="shared" si="25"/>
        <v>Sunday</v>
      </c>
    </row>
    <row r="540" spans="1:13" x14ac:dyDescent="0.3">
      <c r="A540" s="4">
        <f t="shared" si="24"/>
        <v>46040</v>
      </c>
      <c r="B540">
        <v>18</v>
      </c>
      <c r="C540" t="s">
        <v>1414</v>
      </c>
      <c r="D540" cm="1">
        <f t="array" ref="D540">_xlfn.SWITCH(C540, "JAN", 1, "FEB", 2, "MAR", 3, "APR", 4,"MAY", 5, "JUN",6, "JUL", 7, "AUG", 8, "SEP", 9, "OCT", 10, "NOV", 11, "DEC", 12, "NO")</f>
        <v>1</v>
      </c>
      <c r="E540">
        <v>2026</v>
      </c>
      <c r="F540" t="s">
        <v>1448</v>
      </c>
      <c r="G540">
        <f t="shared" si="26"/>
        <v>18</v>
      </c>
      <c r="H540">
        <v>23</v>
      </c>
      <c r="I540" t="s">
        <v>84</v>
      </c>
      <c r="J540">
        <v>132</v>
      </c>
      <c r="K540" t="s">
        <v>1449</v>
      </c>
      <c r="L540" t="s">
        <v>1450</v>
      </c>
      <c r="M540" t="str">
        <f t="shared" si="25"/>
        <v>Sunday</v>
      </c>
    </row>
    <row r="541" spans="1:13" x14ac:dyDescent="0.3">
      <c r="A541" s="4">
        <f t="shared" si="24"/>
        <v>46040</v>
      </c>
      <c r="B541">
        <v>18</v>
      </c>
      <c r="C541" t="s">
        <v>1414</v>
      </c>
      <c r="D541" cm="1">
        <f t="array" ref="D541">_xlfn.SWITCH(C541, "JAN", 1, "FEB", 2, "MAR", 3, "APR", 4,"MAY", 5, "JUN",6, "JUL", 7, "AUG", 8, "SEP", 9, "OCT", 10, "NOV", 11, "DEC", 12, "NO")</f>
        <v>1</v>
      </c>
      <c r="E541">
        <v>2026</v>
      </c>
      <c r="F541" t="s">
        <v>849</v>
      </c>
      <c r="G541">
        <f t="shared" si="26"/>
        <v>13</v>
      </c>
      <c r="H541">
        <v>9</v>
      </c>
      <c r="I541" t="s">
        <v>84</v>
      </c>
      <c r="J541">
        <v>114</v>
      </c>
      <c r="K541" t="s">
        <v>1451</v>
      </c>
      <c r="L541" t="s">
        <v>1452</v>
      </c>
      <c r="M541" t="str">
        <f t="shared" si="25"/>
        <v>Sunday</v>
      </c>
    </row>
    <row r="542" spans="1:13" x14ac:dyDescent="0.3">
      <c r="A542" s="4">
        <f t="shared" si="24"/>
        <v>46038</v>
      </c>
      <c r="B542">
        <v>16</v>
      </c>
      <c r="C542" t="s">
        <v>1414</v>
      </c>
      <c r="D542" cm="1">
        <f t="array" ref="D542">_xlfn.SWITCH(C542, "JAN", 1, "FEB", 2, "MAR", 3, "APR", 4,"MAY", 5, "JUN",6, "JUL", 7, "AUG", 8, "SEP", 9, "OCT", 10, "NOV", 11, "DEC", 12, "NO")</f>
        <v>1</v>
      </c>
      <c r="E542">
        <v>2026</v>
      </c>
      <c r="F542" t="s">
        <v>149</v>
      </c>
      <c r="G542">
        <f t="shared" si="26"/>
        <v>14</v>
      </c>
      <c r="H542">
        <v>52</v>
      </c>
      <c r="I542" t="s">
        <v>84</v>
      </c>
      <c r="J542">
        <v>320</v>
      </c>
      <c r="K542" t="s">
        <v>1453</v>
      </c>
      <c r="L542" t="s">
        <v>1454</v>
      </c>
      <c r="M542" t="str">
        <f t="shared" si="25"/>
        <v>Friday</v>
      </c>
    </row>
    <row r="543" spans="1:13" x14ac:dyDescent="0.3">
      <c r="A543" s="4">
        <f t="shared" si="24"/>
        <v>46038</v>
      </c>
      <c r="B543">
        <v>16</v>
      </c>
      <c r="C543" t="s">
        <v>1414</v>
      </c>
      <c r="D543" cm="1">
        <f t="array" ref="D543">_xlfn.SWITCH(C543, "JAN", 1, "FEB", 2, "MAR", 3, "APR", 4,"MAY", 5, "JUN",6, "JUL", 7, "AUG", 8, "SEP", 9, "OCT", 10, "NOV", 11, "DEC", 12, "NO")</f>
        <v>1</v>
      </c>
      <c r="E543">
        <v>2026</v>
      </c>
      <c r="F543" t="s">
        <v>1455</v>
      </c>
      <c r="G543">
        <f t="shared" si="26"/>
        <v>4</v>
      </c>
      <c r="H543">
        <v>59</v>
      </c>
      <c r="I543" t="s">
        <v>84</v>
      </c>
      <c r="J543">
        <v>2850</v>
      </c>
      <c r="K543" t="s">
        <v>1456</v>
      </c>
      <c r="L543" t="s">
        <v>1457</v>
      </c>
      <c r="M543" t="str">
        <f t="shared" si="25"/>
        <v>Friday</v>
      </c>
    </row>
    <row r="544" spans="1:13" x14ac:dyDescent="0.3">
      <c r="A544" s="4">
        <f t="shared" si="24"/>
        <v>46037</v>
      </c>
      <c r="B544">
        <v>15</v>
      </c>
      <c r="C544" t="s">
        <v>1414</v>
      </c>
      <c r="D544" cm="1">
        <f t="array" ref="D544">_xlfn.SWITCH(C544, "JAN", 1, "FEB", 2, "MAR", 3, "APR", 4,"MAY", 5, "JUN",6, "JUL", 7, "AUG", 8, "SEP", 9, "OCT", 10, "NOV", 11, "DEC", 12, "NO")</f>
        <v>1</v>
      </c>
      <c r="E544">
        <v>2026</v>
      </c>
      <c r="F544" t="s">
        <v>1458</v>
      </c>
      <c r="G544">
        <f t="shared" si="26"/>
        <v>17</v>
      </c>
      <c r="H544">
        <v>10</v>
      </c>
      <c r="I544" t="s">
        <v>84</v>
      </c>
      <c r="J544">
        <v>197</v>
      </c>
      <c r="K544" t="s">
        <v>1459</v>
      </c>
      <c r="L544" t="s">
        <v>1460</v>
      </c>
      <c r="M544" t="str">
        <f t="shared" si="25"/>
        <v>Thursday</v>
      </c>
    </row>
    <row r="545" spans="1:13" x14ac:dyDescent="0.3">
      <c r="A545" s="4">
        <f t="shared" si="24"/>
        <v>46036</v>
      </c>
      <c r="B545">
        <v>14</v>
      </c>
      <c r="C545" t="s">
        <v>1414</v>
      </c>
      <c r="D545" cm="1">
        <f t="array" ref="D545">_xlfn.SWITCH(C545, "JAN", 1, "FEB", 2, "MAR", 3, "APR", 4,"MAY", 5, "JUN",6, "JUL", 7, "AUG", 8, "SEP", 9, "OCT", 10, "NOV", 11, "DEC", 12, "NO")</f>
        <v>1</v>
      </c>
      <c r="E545">
        <v>2026</v>
      </c>
      <c r="F545" t="s">
        <v>874</v>
      </c>
      <c r="G545">
        <f t="shared" si="26"/>
        <v>11</v>
      </c>
      <c r="H545">
        <v>43</v>
      </c>
      <c r="I545" t="s">
        <v>84</v>
      </c>
      <c r="J545">
        <v>302</v>
      </c>
      <c r="K545" t="s">
        <v>1461</v>
      </c>
      <c r="L545" t="s">
        <v>1462</v>
      </c>
      <c r="M545" t="str">
        <f t="shared" si="25"/>
        <v>Wednesday</v>
      </c>
    </row>
    <row r="546" spans="1:13" x14ac:dyDescent="0.3">
      <c r="A546" s="4">
        <f t="shared" si="24"/>
        <v>46035</v>
      </c>
      <c r="B546">
        <v>13</v>
      </c>
      <c r="C546" t="s">
        <v>1414</v>
      </c>
      <c r="D546" cm="1">
        <f t="array" ref="D546">_xlfn.SWITCH(C546, "JAN", 1, "FEB", 2, "MAR", 3, "APR", 4,"MAY", 5, "JUN",6, "JUL", 7, "AUG", 8, "SEP", 9, "OCT", 10, "NOV", 11, "DEC", 12, "NO")</f>
        <v>1</v>
      </c>
      <c r="E546">
        <v>2026</v>
      </c>
      <c r="F546" t="s">
        <v>1463</v>
      </c>
      <c r="G546">
        <f t="shared" si="26"/>
        <v>21</v>
      </c>
      <c r="H546">
        <v>6</v>
      </c>
      <c r="I546" t="s">
        <v>12</v>
      </c>
      <c r="J546">
        <v>300</v>
      </c>
      <c r="K546" t="s">
        <v>1464</v>
      </c>
      <c r="L546" t="s">
        <v>1465</v>
      </c>
      <c r="M546" t="str">
        <f t="shared" si="25"/>
        <v>Tuesday</v>
      </c>
    </row>
    <row r="547" spans="1:13" x14ac:dyDescent="0.3">
      <c r="A547" s="4">
        <f t="shared" si="24"/>
        <v>46034</v>
      </c>
      <c r="B547">
        <v>12</v>
      </c>
      <c r="C547" t="s">
        <v>1414</v>
      </c>
      <c r="D547" cm="1">
        <f t="array" ref="D547">_xlfn.SWITCH(C547, "JAN", 1, "FEB", 2, "MAR", 3, "APR", 4,"MAY", 5, "JUN",6, "JUL", 7, "AUG", 8, "SEP", 9, "OCT", 10, "NOV", 11, "DEC", 12, "NO")</f>
        <v>1</v>
      </c>
      <c r="E547">
        <v>2026</v>
      </c>
      <c r="F547" t="s">
        <v>1466</v>
      </c>
      <c r="G547">
        <f t="shared" si="26"/>
        <v>13</v>
      </c>
      <c r="H547">
        <v>31</v>
      </c>
      <c r="I547" t="s">
        <v>84</v>
      </c>
      <c r="J547">
        <v>449</v>
      </c>
      <c r="K547" t="s">
        <v>1467</v>
      </c>
      <c r="L547" t="s">
        <v>1468</v>
      </c>
      <c r="M547" t="str">
        <f t="shared" si="25"/>
        <v>Monday</v>
      </c>
    </row>
    <row r="548" spans="1:13" x14ac:dyDescent="0.3">
      <c r="A548" s="4">
        <f t="shared" si="24"/>
        <v>46032</v>
      </c>
      <c r="B548">
        <v>10</v>
      </c>
      <c r="C548" t="s">
        <v>1414</v>
      </c>
      <c r="D548" cm="1">
        <f t="array" ref="D548">_xlfn.SWITCH(C548, "JAN", 1, "FEB", 2, "MAR", 3, "APR", 4,"MAY", 5, "JUN",6, "JUL", 7, "AUG", 8, "SEP", 9, "OCT", 10, "NOV", 11, "DEC", 12, "NO")</f>
        <v>1</v>
      </c>
      <c r="E548">
        <v>2026</v>
      </c>
      <c r="F548" t="s">
        <v>1469</v>
      </c>
      <c r="G548">
        <f t="shared" si="26"/>
        <v>7</v>
      </c>
      <c r="H548">
        <v>55</v>
      </c>
      <c r="I548" t="s">
        <v>12</v>
      </c>
      <c r="J548">
        <v>30000</v>
      </c>
      <c r="K548" t="s">
        <v>1470</v>
      </c>
      <c r="L548" t="s">
        <v>1471</v>
      </c>
      <c r="M548" t="str">
        <f t="shared" si="25"/>
        <v>Saturday</v>
      </c>
    </row>
    <row r="549" spans="1:13" x14ac:dyDescent="0.3">
      <c r="A549" s="4">
        <f t="shared" si="24"/>
        <v>46030</v>
      </c>
      <c r="B549">
        <v>8</v>
      </c>
      <c r="C549" t="s">
        <v>1414</v>
      </c>
      <c r="D549" cm="1">
        <f t="array" ref="D549">_xlfn.SWITCH(C549, "JAN", 1, "FEB", 2, "MAR", 3, "APR", 4,"MAY", 5, "JUN",6, "JUL", 7, "AUG", 8, "SEP", 9, "OCT", 10, "NOV", 11, "DEC", 12, "NO")</f>
        <v>1</v>
      </c>
      <c r="E549">
        <v>2026</v>
      </c>
      <c r="F549" t="s">
        <v>1472</v>
      </c>
      <c r="G549">
        <f t="shared" si="26"/>
        <v>22</v>
      </c>
      <c r="H549">
        <v>15</v>
      </c>
      <c r="I549" t="s">
        <v>84</v>
      </c>
      <c r="J549">
        <v>1000</v>
      </c>
      <c r="K549" t="s">
        <v>1473</v>
      </c>
      <c r="L549" t="s">
        <v>1474</v>
      </c>
      <c r="M549" t="str">
        <f t="shared" si="25"/>
        <v>Thursday</v>
      </c>
    </row>
    <row r="550" spans="1:13" x14ac:dyDescent="0.3">
      <c r="A550" s="4">
        <f t="shared" si="24"/>
        <v>46028</v>
      </c>
      <c r="B550">
        <v>6</v>
      </c>
      <c r="C550" t="s">
        <v>1414</v>
      </c>
      <c r="D550" cm="1">
        <f t="array" ref="D550">_xlfn.SWITCH(C550, "JAN", 1, "FEB", 2, "MAR", 3, "APR", 4,"MAY", 5, "JUN",6, "JUL", 7, "AUG", 8, "SEP", 9, "OCT", 10, "NOV", 11, "DEC", 12, "NO")</f>
        <v>1</v>
      </c>
      <c r="E550">
        <v>2026</v>
      </c>
      <c r="F550" t="s">
        <v>1475</v>
      </c>
      <c r="G550">
        <f t="shared" si="26"/>
        <v>19</v>
      </c>
      <c r="H550">
        <v>2</v>
      </c>
      <c r="I550" t="s">
        <v>12</v>
      </c>
      <c r="J550">
        <v>1000</v>
      </c>
      <c r="K550" t="s">
        <v>1476</v>
      </c>
      <c r="L550" t="s">
        <v>1477</v>
      </c>
      <c r="M550" t="str">
        <f t="shared" si="25"/>
        <v>Tuesday</v>
      </c>
    </row>
    <row r="551" spans="1:13" x14ac:dyDescent="0.3">
      <c r="A551" s="4">
        <f t="shared" si="24"/>
        <v>46028</v>
      </c>
      <c r="B551">
        <v>6</v>
      </c>
      <c r="C551" t="s">
        <v>1414</v>
      </c>
      <c r="D551" cm="1">
        <f t="array" ref="D551">_xlfn.SWITCH(C551, "JAN", 1, "FEB", 2, "MAR", 3, "APR", 4,"MAY", 5, "JUN",6, "JUL", 7, "AUG", 8, "SEP", 9, "OCT", 10, "NOV", 11, "DEC", 12, "NO")</f>
        <v>1</v>
      </c>
      <c r="E551">
        <v>2026</v>
      </c>
      <c r="F551" t="s">
        <v>1190</v>
      </c>
      <c r="G551">
        <f t="shared" si="26"/>
        <v>16</v>
      </c>
      <c r="H551">
        <v>26</v>
      </c>
      <c r="I551" t="s">
        <v>12</v>
      </c>
      <c r="J551">
        <v>2300</v>
      </c>
      <c r="K551" t="s">
        <v>1478</v>
      </c>
      <c r="L551" t="s">
        <v>1479</v>
      </c>
      <c r="M551" t="str">
        <f t="shared" si="25"/>
        <v>Tuesday</v>
      </c>
    </row>
    <row r="552" spans="1:13" x14ac:dyDescent="0.3">
      <c r="A552" s="4">
        <f t="shared" si="24"/>
        <v>46027</v>
      </c>
      <c r="B552">
        <v>5</v>
      </c>
      <c r="C552" t="s">
        <v>1414</v>
      </c>
      <c r="D552" cm="1">
        <f t="array" ref="D552">_xlfn.SWITCH(C552, "JAN", 1, "FEB", 2, "MAR", 3, "APR", 4,"MAY", 5, "JUN",6, "JUL", 7, "AUG", 8, "SEP", 9, "OCT", 10, "NOV", 11, "DEC", 12, "NO")</f>
        <v>1</v>
      </c>
      <c r="E552">
        <v>2026</v>
      </c>
      <c r="F552" t="s">
        <v>438</v>
      </c>
      <c r="G552">
        <f t="shared" si="26"/>
        <v>20</v>
      </c>
      <c r="H552">
        <v>4</v>
      </c>
      <c r="I552" t="s">
        <v>84</v>
      </c>
      <c r="J552">
        <v>2300</v>
      </c>
      <c r="K552" t="s">
        <v>1480</v>
      </c>
      <c r="L552" t="s">
        <v>1481</v>
      </c>
      <c r="M552" t="str">
        <f t="shared" si="25"/>
        <v>Monday</v>
      </c>
    </row>
    <row r="553" spans="1:13" x14ac:dyDescent="0.3">
      <c r="A553" s="4">
        <f t="shared" si="24"/>
        <v>46027</v>
      </c>
      <c r="B553">
        <v>5</v>
      </c>
      <c r="C553" t="s">
        <v>1414</v>
      </c>
      <c r="D553" cm="1">
        <f t="array" ref="D553">_xlfn.SWITCH(C553, "JAN", 1, "FEB", 2, "MAR", 3, "APR", 4,"MAY", 5, "JUN",6, "JUL", 7, "AUG", 8, "SEP", 9, "OCT", 10, "NOV", 11, "DEC", 12, "NO")</f>
        <v>1</v>
      </c>
      <c r="E553">
        <v>2026</v>
      </c>
      <c r="F553" t="s">
        <v>75</v>
      </c>
      <c r="G553">
        <f t="shared" si="26"/>
        <v>9</v>
      </c>
      <c r="H553">
        <v>17</v>
      </c>
      <c r="I553" t="s">
        <v>84</v>
      </c>
      <c r="J553">
        <v>15</v>
      </c>
      <c r="K553" t="s">
        <v>1482</v>
      </c>
      <c r="L553" t="s">
        <v>1483</v>
      </c>
      <c r="M553" t="str">
        <f t="shared" si="25"/>
        <v>Monday</v>
      </c>
    </row>
    <row r="554" spans="1:13" x14ac:dyDescent="0.3">
      <c r="A554" s="4">
        <f t="shared" si="24"/>
        <v>46026</v>
      </c>
      <c r="B554">
        <v>4</v>
      </c>
      <c r="C554" t="s">
        <v>1414</v>
      </c>
      <c r="D554" cm="1">
        <f t="array" ref="D554">_xlfn.SWITCH(C554, "JAN", 1, "FEB", 2, "MAR", 3, "APR", 4,"MAY", 5, "JUN",6, "JUL", 7, "AUG", 8, "SEP", 9, "OCT", 10, "NOV", 11, "DEC", 12, "NO")</f>
        <v>1</v>
      </c>
      <c r="E554">
        <v>2026</v>
      </c>
      <c r="F554" t="s">
        <v>1484</v>
      </c>
      <c r="G554">
        <f t="shared" si="26"/>
        <v>17</v>
      </c>
      <c r="H554">
        <v>58</v>
      </c>
      <c r="I554" t="s">
        <v>84</v>
      </c>
      <c r="J554">
        <v>80</v>
      </c>
      <c r="K554" t="s">
        <v>1485</v>
      </c>
      <c r="L554" t="s">
        <v>1486</v>
      </c>
      <c r="M554" t="str">
        <f t="shared" si="25"/>
        <v>Sunday</v>
      </c>
    </row>
    <row r="555" spans="1:13" x14ac:dyDescent="0.3">
      <c r="A555" s="4">
        <f t="shared" si="24"/>
        <v>46023</v>
      </c>
      <c r="B555">
        <v>1</v>
      </c>
      <c r="C555" t="s">
        <v>1414</v>
      </c>
      <c r="D555" cm="1">
        <f t="array" ref="D555">_xlfn.SWITCH(C555, "JAN", 1, "FEB", 2, "MAR", 3, "APR", 4,"MAY", 5, "JUN",6, "JUL", 7, "AUG", 8, "SEP", 9, "OCT", 10, "NOV", 11, "DEC", 12, "NO")</f>
        <v>1</v>
      </c>
      <c r="E555">
        <v>2026</v>
      </c>
      <c r="F555" t="s">
        <v>36</v>
      </c>
      <c r="G555">
        <f t="shared" si="26"/>
        <v>11</v>
      </c>
      <c r="H555">
        <v>13</v>
      </c>
      <c r="I555" t="s">
        <v>84</v>
      </c>
      <c r="J555">
        <v>2600</v>
      </c>
      <c r="K555" t="s">
        <v>1487</v>
      </c>
      <c r="L555" t="s">
        <v>1488</v>
      </c>
      <c r="M555" t="str">
        <f t="shared" si="25"/>
        <v>Thursday</v>
      </c>
    </row>
    <row r="556" spans="1:13" x14ac:dyDescent="0.3">
      <c r="A556" s="4">
        <f t="shared" si="24"/>
        <v>46022</v>
      </c>
      <c r="B556">
        <v>31</v>
      </c>
      <c r="C556" t="s">
        <v>1489</v>
      </c>
      <c r="D556" cm="1">
        <f t="array" ref="D556">_xlfn.SWITCH(C556, "JAN", 1, "FEB", 2, "MAR", 3, "APR", 4,"MAY", 5, "JUN",6, "JUL", 7, "AUG", 8, "SEP", 9, "OCT", 10, "NOV", 11, "DEC", 12, "NO")</f>
        <v>12</v>
      </c>
      <c r="E556">
        <v>2025</v>
      </c>
      <c r="F556" t="s">
        <v>1490</v>
      </c>
      <c r="G556">
        <f t="shared" si="26"/>
        <v>19</v>
      </c>
      <c r="H556">
        <v>9</v>
      </c>
      <c r="I556" t="s">
        <v>12</v>
      </c>
      <c r="J556">
        <v>320</v>
      </c>
      <c r="K556" t="s">
        <v>1491</v>
      </c>
      <c r="L556" t="s">
        <v>1492</v>
      </c>
      <c r="M556" t="str">
        <f t="shared" si="25"/>
        <v>Wednesday</v>
      </c>
    </row>
    <row r="557" spans="1:13" x14ac:dyDescent="0.3">
      <c r="A557" s="4">
        <f t="shared" si="24"/>
        <v>46021</v>
      </c>
      <c r="B557">
        <v>30</v>
      </c>
      <c r="C557" t="s">
        <v>1489</v>
      </c>
      <c r="D557" cm="1">
        <f t="array" ref="D557">_xlfn.SWITCH(C557, "JAN", 1, "FEB", 2, "MAR", 3, "APR", 4,"MAY", 5, "JUN",6, "JUL", 7, "AUG", 8, "SEP", 9, "OCT", 10, "NOV", 11, "DEC", 12, "NO")</f>
        <v>12</v>
      </c>
      <c r="E557">
        <v>2025</v>
      </c>
      <c r="F557" t="s">
        <v>1493</v>
      </c>
      <c r="G557">
        <f t="shared" si="26"/>
        <v>20</v>
      </c>
      <c r="H557">
        <v>1</v>
      </c>
      <c r="I557" t="s">
        <v>12</v>
      </c>
      <c r="J557">
        <v>100</v>
      </c>
      <c r="K557" t="s">
        <v>1494</v>
      </c>
      <c r="L557" t="s">
        <v>1495</v>
      </c>
      <c r="M557" t="str">
        <f t="shared" si="25"/>
        <v>Tuesday</v>
      </c>
    </row>
    <row r="558" spans="1:13" x14ac:dyDescent="0.3">
      <c r="A558" s="4">
        <f t="shared" si="24"/>
        <v>46020</v>
      </c>
      <c r="B558">
        <v>29</v>
      </c>
      <c r="C558" t="s">
        <v>1489</v>
      </c>
      <c r="D558" cm="1">
        <f t="array" ref="D558">_xlfn.SWITCH(C558, "JAN", 1, "FEB", 2, "MAR", 3, "APR", 4,"MAY", 5, "JUN",6, "JUL", 7, "AUG", 8, "SEP", 9, "OCT", 10, "NOV", 11, "DEC", 12, "NO")</f>
        <v>12</v>
      </c>
      <c r="E558">
        <v>2025</v>
      </c>
      <c r="F558" t="s">
        <v>1139</v>
      </c>
      <c r="G558">
        <f t="shared" si="26"/>
        <v>21</v>
      </c>
      <c r="H558">
        <v>7</v>
      </c>
      <c r="I558" t="s">
        <v>12</v>
      </c>
      <c r="J558">
        <v>2200</v>
      </c>
      <c r="K558" t="s">
        <v>1496</v>
      </c>
      <c r="L558" t="s">
        <v>1497</v>
      </c>
      <c r="M558" t="str">
        <f t="shared" si="25"/>
        <v>Monday</v>
      </c>
    </row>
    <row r="559" spans="1:13" x14ac:dyDescent="0.3">
      <c r="A559" s="4">
        <f t="shared" si="24"/>
        <v>46020</v>
      </c>
      <c r="B559">
        <v>29</v>
      </c>
      <c r="C559" t="s">
        <v>1489</v>
      </c>
      <c r="D559" cm="1">
        <f t="array" ref="D559">_xlfn.SWITCH(C559, "JAN", 1, "FEB", 2, "MAR", 3, "APR", 4,"MAY", 5, "JUN",6, "JUL", 7, "AUG", 8, "SEP", 9, "OCT", 10, "NOV", 11, "DEC", 12, "NO")</f>
        <v>12</v>
      </c>
      <c r="E559">
        <v>2025</v>
      </c>
      <c r="F559" t="s">
        <v>1099</v>
      </c>
      <c r="G559">
        <f t="shared" si="26"/>
        <v>20</v>
      </c>
      <c r="H559">
        <v>0</v>
      </c>
      <c r="I559" t="s">
        <v>84</v>
      </c>
      <c r="J559">
        <v>500</v>
      </c>
      <c r="K559" t="s">
        <v>1498</v>
      </c>
      <c r="L559" t="s">
        <v>1499</v>
      </c>
      <c r="M559" t="str">
        <f t="shared" si="25"/>
        <v>Monday</v>
      </c>
    </row>
    <row r="560" spans="1:13" x14ac:dyDescent="0.3">
      <c r="A560" s="4">
        <f t="shared" si="24"/>
        <v>46020</v>
      </c>
      <c r="B560">
        <v>29</v>
      </c>
      <c r="C560" t="s">
        <v>1489</v>
      </c>
      <c r="D560" cm="1">
        <f t="array" ref="D560">_xlfn.SWITCH(C560, "JAN", 1, "FEB", 2, "MAR", 3, "APR", 4,"MAY", 5, "JUN",6, "JUL", 7, "AUG", 8, "SEP", 9, "OCT", 10, "NOV", 11, "DEC", 12, "NO")</f>
        <v>12</v>
      </c>
      <c r="E560">
        <v>2025</v>
      </c>
      <c r="F560" t="s">
        <v>1500</v>
      </c>
      <c r="G560">
        <f t="shared" si="26"/>
        <v>18</v>
      </c>
      <c r="H560">
        <v>46</v>
      </c>
      <c r="I560" t="s">
        <v>12</v>
      </c>
      <c r="J560">
        <v>1080</v>
      </c>
      <c r="K560" t="s">
        <v>1501</v>
      </c>
      <c r="L560" t="s">
        <v>1502</v>
      </c>
      <c r="M560" t="str">
        <f t="shared" si="25"/>
        <v>Monday</v>
      </c>
    </row>
    <row r="561" spans="1:13" x14ac:dyDescent="0.3">
      <c r="A561" s="4">
        <f t="shared" si="24"/>
        <v>46020</v>
      </c>
      <c r="B561">
        <v>29</v>
      </c>
      <c r="C561" t="s">
        <v>1489</v>
      </c>
      <c r="D561" cm="1">
        <f t="array" ref="D561">_xlfn.SWITCH(C561, "JAN", 1, "FEB", 2, "MAR", 3, "APR", 4,"MAY", 5, "JUN",6, "JUL", 7, "AUG", 8, "SEP", 9, "OCT", 10, "NOV", 11, "DEC", 12, "NO")</f>
        <v>12</v>
      </c>
      <c r="E561">
        <v>2025</v>
      </c>
      <c r="F561" t="s">
        <v>240</v>
      </c>
      <c r="G561">
        <f t="shared" si="26"/>
        <v>18</v>
      </c>
      <c r="H561">
        <v>31</v>
      </c>
      <c r="I561" t="s">
        <v>84</v>
      </c>
      <c r="J561">
        <v>500</v>
      </c>
      <c r="K561" t="s">
        <v>1503</v>
      </c>
      <c r="L561" t="s">
        <v>1504</v>
      </c>
      <c r="M561" t="str">
        <f t="shared" si="25"/>
        <v>Monday</v>
      </c>
    </row>
    <row r="562" spans="1:13" x14ac:dyDescent="0.3">
      <c r="A562" s="4">
        <f t="shared" si="24"/>
        <v>46019</v>
      </c>
      <c r="B562">
        <v>28</v>
      </c>
      <c r="C562" t="s">
        <v>1489</v>
      </c>
      <c r="D562" cm="1">
        <f t="array" ref="D562">_xlfn.SWITCH(C562, "JAN", 1, "FEB", 2, "MAR", 3, "APR", 4,"MAY", 5, "JUN",6, "JUL", 7, "AUG", 8, "SEP", 9, "OCT", 10, "NOV", 11, "DEC", 12, "NO")</f>
        <v>12</v>
      </c>
      <c r="E562">
        <v>2025</v>
      </c>
      <c r="F562" t="s">
        <v>1505</v>
      </c>
      <c r="G562">
        <f t="shared" si="26"/>
        <v>22</v>
      </c>
      <c r="H562">
        <v>36</v>
      </c>
      <c r="I562" t="s">
        <v>84</v>
      </c>
      <c r="J562">
        <v>1421</v>
      </c>
      <c r="K562" t="s">
        <v>1506</v>
      </c>
      <c r="L562" t="s">
        <v>1507</v>
      </c>
      <c r="M562" t="str">
        <f t="shared" si="25"/>
        <v>Sunday</v>
      </c>
    </row>
    <row r="563" spans="1:13" x14ac:dyDescent="0.3">
      <c r="A563" s="4">
        <f t="shared" si="24"/>
        <v>46019</v>
      </c>
      <c r="B563">
        <v>28</v>
      </c>
      <c r="C563" t="s">
        <v>1489</v>
      </c>
      <c r="D563" cm="1">
        <f t="array" ref="D563">_xlfn.SWITCH(C563, "JAN", 1, "FEB", 2, "MAR", 3, "APR", 4,"MAY", 5, "JUN",6, "JUL", 7, "AUG", 8, "SEP", 9, "OCT", 10, "NOV", 11, "DEC", 12, "NO")</f>
        <v>12</v>
      </c>
      <c r="E563">
        <v>2025</v>
      </c>
      <c r="F563" t="s">
        <v>1438</v>
      </c>
      <c r="G563">
        <f t="shared" si="26"/>
        <v>10</v>
      </c>
      <c r="H563">
        <v>14</v>
      </c>
      <c r="I563" t="s">
        <v>12</v>
      </c>
      <c r="J563">
        <v>2715</v>
      </c>
      <c r="K563" t="s">
        <v>1508</v>
      </c>
      <c r="L563" t="s">
        <v>1509</v>
      </c>
      <c r="M563" t="str">
        <f t="shared" si="25"/>
        <v>Sunday</v>
      </c>
    </row>
    <row r="564" spans="1:13" x14ac:dyDescent="0.3">
      <c r="A564" s="4">
        <f t="shared" si="24"/>
        <v>46018</v>
      </c>
      <c r="B564">
        <v>27</v>
      </c>
      <c r="C564" t="s">
        <v>1489</v>
      </c>
      <c r="D564" cm="1">
        <f t="array" ref="D564">_xlfn.SWITCH(C564, "JAN", 1, "FEB", 2, "MAR", 3, "APR", 4,"MAY", 5, "JUN",6, "JUL", 7, "AUG", 8, "SEP", 9, "OCT", 10, "NOV", 11, "DEC", 12, "NO")</f>
        <v>12</v>
      </c>
      <c r="E564">
        <v>2025</v>
      </c>
      <c r="F564" t="s">
        <v>781</v>
      </c>
      <c r="G564">
        <f t="shared" si="26"/>
        <v>19</v>
      </c>
      <c r="H564">
        <v>55</v>
      </c>
      <c r="I564" t="s">
        <v>84</v>
      </c>
      <c r="J564">
        <v>715</v>
      </c>
      <c r="K564" t="s">
        <v>1510</v>
      </c>
      <c r="L564" t="s">
        <v>1511</v>
      </c>
      <c r="M564" t="str">
        <f t="shared" si="25"/>
        <v>Saturday</v>
      </c>
    </row>
    <row r="565" spans="1:13" x14ac:dyDescent="0.3">
      <c r="A565" s="4">
        <f t="shared" si="24"/>
        <v>46018</v>
      </c>
      <c r="B565">
        <v>27</v>
      </c>
      <c r="C565" t="s">
        <v>1489</v>
      </c>
      <c r="D565" cm="1">
        <f t="array" ref="D565">_xlfn.SWITCH(C565, "JAN", 1, "FEB", 2, "MAR", 3, "APR", 4,"MAY", 5, "JUN",6, "JUL", 7, "AUG", 8, "SEP", 9, "OCT", 10, "NOV", 11, "DEC", 12, "NO")</f>
        <v>12</v>
      </c>
      <c r="E565">
        <v>2025</v>
      </c>
      <c r="F565" t="s">
        <v>781</v>
      </c>
      <c r="G565">
        <f t="shared" si="26"/>
        <v>19</v>
      </c>
      <c r="H565">
        <v>55</v>
      </c>
      <c r="I565" t="s">
        <v>84</v>
      </c>
      <c r="J565">
        <v>2000</v>
      </c>
      <c r="K565" t="s">
        <v>1512</v>
      </c>
      <c r="L565" t="s">
        <v>1513</v>
      </c>
      <c r="M565" t="str">
        <f t="shared" si="25"/>
        <v>Saturday</v>
      </c>
    </row>
    <row r="566" spans="1:13" x14ac:dyDescent="0.3">
      <c r="A566" s="4">
        <f t="shared" si="24"/>
        <v>46017</v>
      </c>
      <c r="B566">
        <v>26</v>
      </c>
      <c r="C566" t="s">
        <v>1489</v>
      </c>
      <c r="D566" cm="1">
        <f t="array" ref="D566">_xlfn.SWITCH(C566, "JAN", 1, "FEB", 2, "MAR", 3, "APR", 4,"MAY", 5, "JUN",6, "JUL", 7, "AUG", 8, "SEP", 9, "OCT", 10, "NOV", 11, "DEC", 12, "NO")</f>
        <v>12</v>
      </c>
      <c r="E566">
        <v>2025</v>
      </c>
      <c r="F566" t="s">
        <v>198</v>
      </c>
      <c r="G566">
        <f t="shared" si="26"/>
        <v>12</v>
      </c>
      <c r="H566">
        <v>33</v>
      </c>
      <c r="I566" t="s">
        <v>12</v>
      </c>
      <c r="J566">
        <v>1000</v>
      </c>
      <c r="K566" t="s">
        <v>1514</v>
      </c>
      <c r="L566" t="s">
        <v>1515</v>
      </c>
      <c r="M566" t="str">
        <f t="shared" si="25"/>
        <v>Friday</v>
      </c>
    </row>
    <row r="567" spans="1:13" x14ac:dyDescent="0.3">
      <c r="A567" s="4">
        <f t="shared" si="24"/>
        <v>46016</v>
      </c>
      <c r="B567">
        <v>25</v>
      </c>
      <c r="C567" t="s">
        <v>1489</v>
      </c>
      <c r="D567" cm="1">
        <f t="array" ref="D567">_xlfn.SWITCH(C567, "JAN", 1, "FEB", 2, "MAR", 3, "APR", 4,"MAY", 5, "JUN",6, "JUL", 7, "AUG", 8, "SEP", 9, "OCT", 10, "NOV", 11, "DEC", 12, "NO")</f>
        <v>12</v>
      </c>
      <c r="E567">
        <v>2025</v>
      </c>
      <c r="F567" t="s">
        <v>1516</v>
      </c>
      <c r="G567">
        <f t="shared" si="26"/>
        <v>7</v>
      </c>
      <c r="H567">
        <v>48</v>
      </c>
      <c r="I567" t="s">
        <v>84</v>
      </c>
      <c r="J567">
        <v>1000</v>
      </c>
      <c r="K567" t="s">
        <v>1517</v>
      </c>
      <c r="L567" t="s">
        <v>1518</v>
      </c>
      <c r="M567" t="str">
        <f t="shared" si="25"/>
        <v>Thursday</v>
      </c>
    </row>
    <row r="568" spans="1:13" x14ac:dyDescent="0.3">
      <c r="A568" s="4">
        <f t="shared" si="24"/>
        <v>46013</v>
      </c>
      <c r="B568">
        <v>22</v>
      </c>
      <c r="C568" t="s">
        <v>1489</v>
      </c>
      <c r="D568" cm="1">
        <f t="array" ref="D568">_xlfn.SWITCH(C568, "JAN", 1, "FEB", 2, "MAR", 3, "APR", 4,"MAY", 5, "JUN",6, "JUL", 7, "AUG", 8, "SEP", 9, "OCT", 10, "NOV", 11, "DEC", 12, "NO")</f>
        <v>12</v>
      </c>
      <c r="E568">
        <v>2025</v>
      </c>
      <c r="F568" t="s">
        <v>1046</v>
      </c>
      <c r="G568">
        <f t="shared" si="26"/>
        <v>20</v>
      </c>
      <c r="H568">
        <v>26</v>
      </c>
      <c r="I568" t="s">
        <v>84</v>
      </c>
      <c r="J568">
        <v>100</v>
      </c>
      <c r="K568" t="s">
        <v>1519</v>
      </c>
      <c r="L568" t="s">
        <v>1520</v>
      </c>
      <c r="M568" t="str">
        <f t="shared" si="25"/>
        <v>Monday</v>
      </c>
    </row>
    <row r="569" spans="1:13" x14ac:dyDescent="0.3">
      <c r="A569" s="4">
        <f t="shared" si="24"/>
        <v>46013</v>
      </c>
      <c r="B569">
        <v>22</v>
      </c>
      <c r="C569" t="s">
        <v>1489</v>
      </c>
      <c r="D569" cm="1">
        <f t="array" ref="D569">_xlfn.SWITCH(C569, "JAN", 1, "FEB", 2, "MAR", 3, "APR", 4,"MAY", 5, "JUN",6, "JUL", 7, "AUG", 8, "SEP", 9, "OCT", 10, "NOV", 11, "DEC", 12, "NO")</f>
        <v>12</v>
      </c>
      <c r="E569">
        <v>2025</v>
      </c>
      <c r="F569" t="s">
        <v>1020</v>
      </c>
      <c r="G569">
        <f t="shared" si="26"/>
        <v>14</v>
      </c>
      <c r="H569">
        <v>29</v>
      </c>
      <c r="I569" t="s">
        <v>84</v>
      </c>
      <c r="J569">
        <v>45</v>
      </c>
      <c r="K569" t="s">
        <v>1521</v>
      </c>
      <c r="L569" t="s">
        <v>1522</v>
      </c>
      <c r="M569" t="str">
        <f t="shared" si="25"/>
        <v>Monday</v>
      </c>
    </row>
    <row r="570" spans="1:13" x14ac:dyDescent="0.3">
      <c r="A570" s="4">
        <f t="shared" si="24"/>
        <v>46012</v>
      </c>
      <c r="B570">
        <v>21</v>
      </c>
      <c r="C570" t="s">
        <v>1489</v>
      </c>
      <c r="D570" cm="1">
        <f t="array" ref="D570">_xlfn.SWITCH(C570, "JAN", 1, "FEB", 2, "MAR", 3, "APR", 4,"MAY", 5, "JUN",6, "JUL", 7, "AUG", 8, "SEP", 9, "OCT", 10, "NOV", 11, "DEC", 12, "NO")</f>
        <v>12</v>
      </c>
      <c r="E570">
        <v>2025</v>
      </c>
      <c r="F570" t="s">
        <v>663</v>
      </c>
      <c r="G570">
        <f t="shared" si="26"/>
        <v>18</v>
      </c>
      <c r="H570">
        <v>4</v>
      </c>
      <c r="I570" t="s">
        <v>12</v>
      </c>
      <c r="J570">
        <v>1000</v>
      </c>
      <c r="K570" t="s">
        <v>1523</v>
      </c>
      <c r="L570" t="s">
        <v>1524</v>
      </c>
      <c r="M570" t="str">
        <f t="shared" si="25"/>
        <v>Sunday</v>
      </c>
    </row>
    <row r="571" spans="1:13" x14ac:dyDescent="0.3">
      <c r="A571" s="4">
        <f t="shared" si="24"/>
        <v>46012</v>
      </c>
      <c r="B571">
        <v>21</v>
      </c>
      <c r="C571" t="s">
        <v>1489</v>
      </c>
      <c r="D571" cm="1">
        <f t="array" ref="D571">_xlfn.SWITCH(C571, "JAN", 1, "FEB", 2, "MAR", 3, "APR", 4,"MAY", 5, "JUN",6, "JUL", 7, "AUG", 8, "SEP", 9, "OCT", 10, "NOV", 11, "DEC", 12, "NO")</f>
        <v>12</v>
      </c>
      <c r="E571">
        <v>2025</v>
      </c>
      <c r="F571" t="s">
        <v>1525</v>
      </c>
      <c r="G571">
        <f t="shared" si="26"/>
        <v>13</v>
      </c>
      <c r="H571">
        <v>8</v>
      </c>
      <c r="I571" t="s">
        <v>84</v>
      </c>
      <c r="J571">
        <v>251</v>
      </c>
      <c r="K571" t="s">
        <v>1526</v>
      </c>
      <c r="L571" t="s">
        <v>1527</v>
      </c>
      <c r="M571" t="str">
        <f t="shared" si="25"/>
        <v>Sunday</v>
      </c>
    </row>
    <row r="572" spans="1:13" x14ac:dyDescent="0.3">
      <c r="A572" s="4">
        <f t="shared" si="24"/>
        <v>46011</v>
      </c>
      <c r="B572">
        <v>20</v>
      </c>
      <c r="C572" t="s">
        <v>1489</v>
      </c>
      <c r="D572" cm="1">
        <f t="array" ref="D572">_xlfn.SWITCH(C572, "JAN", 1, "FEB", 2, "MAR", 3, "APR", 4,"MAY", 5, "JUN",6, "JUL", 7, "AUG", 8, "SEP", 9, "OCT", 10, "NOV", 11, "DEC", 12, "NO")</f>
        <v>12</v>
      </c>
      <c r="E572">
        <v>2025</v>
      </c>
      <c r="F572" t="s">
        <v>1528</v>
      </c>
      <c r="G572">
        <f t="shared" si="26"/>
        <v>15</v>
      </c>
      <c r="H572">
        <v>14</v>
      </c>
      <c r="I572" t="s">
        <v>84</v>
      </c>
      <c r="J572">
        <v>50</v>
      </c>
      <c r="K572" t="s">
        <v>1529</v>
      </c>
      <c r="L572" t="s">
        <v>1530</v>
      </c>
      <c r="M572" t="str">
        <f t="shared" si="25"/>
        <v>Saturday</v>
      </c>
    </row>
    <row r="573" spans="1:13" x14ac:dyDescent="0.3">
      <c r="A573" s="4">
        <f t="shared" si="24"/>
        <v>46009</v>
      </c>
      <c r="B573">
        <v>18</v>
      </c>
      <c r="C573" t="s">
        <v>1489</v>
      </c>
      <c r="D573" cm="1">
        <f t="array" ref="D573">_xlfn.SWITCH(C573, "JAN", 1, "FEB", 2, "MAR", 3, "APR", 4,"MAY", 5, "JUN",6, "JUL", 7, "AUG", 8, "SEP", 9, "OCT", 10, "NOV", 11, "DEC", 12, "NO")</f>
        <v>12</v>
      </c>
      <c r="E573">
        <v>2025</v>
      </c>
      <c r="F573" t="s">
        <v>1531</v>
      </c>
      <c r="G573">
        <f t="shared" si="26"/>
        <v>21</v>
      </c>
      <c r="H573">
        <v>8</v>
      </c>
      <c r="I573" t="s">
        <v>84</v>
      </c>
      <c r="J573">
        <v>700</v>
      </c>
      <c r="K573" t="s">
        <v>1532</v>
      </c>
      <c r="L573" t="s">
        <v>1533</v>
      </c>
      <c r="M573" t="str">
        <f t="shared" si="25"/>
        <v>Thursday</v>
      </c>
    </row>
    <row r="574" spans="1:13" x14ac:dyDescent="0.3">
      <c r="A574" s="4">
        <f t="shared" si="24"/>
        <v>46009</v>
      </c>
      <c r="B574">
        <v>18</v>
      </c>
      <c r="C574" t="s">
        <v>1489</v>
      </c>
      <c r="D574" cm="1">
        <f t="array" ref="D574">_xlfn.SWITCH(C574, "JAN", 1, "FEB", 2, "MAR", 3, "APR", 4,"MAY", 5, "JUN",6, "JUL", 7, "AUG", 8, "SEP", 9, "OCT", 10, "NOV", 11, "DEC", 12, "NO")</f>
        <v>12</v>
      </c>
      <c r="E574">
        <v>2025</v>
      </c>
      <c r="F574" t="s">
        <v>1534</v>
      </c>
      <c r="G574">
        <f t="shared" si="26"/>
        <v>15</v>
      </c>
      <c r="H574">
        <v>20</v>
      </c>
      <c r="I574" t="s">
        <v>12</v>
      </c>
      <c r="J574">
        <v>700</v>
      </c>
      <c r="K574" t="s">
        <v>1535</v>
      </c>
      <c r="L574" t="s">
        <v>1536</v>
      </c>
      <c r="M574" t="str">
        <f t="shared" si="25"/>
        <v>Thursday</v>
      </c>
    </row>
    <row r="575" spans="1:13" x14ac:dyDescent="0.3">
      <c r="A575" s="4">
        <f t="shared" si="24"/>
        <v>46007</v>
      </c>
      <c r="B575">
        <v>16</v>
      </c>
      <c r="C575" t="s">
        <v>1489</v>
      </c>
      <c r="D575" cm="1">
        <f t="array" ref="D575">_xlfn.SWITCH(C575, "JAN", 1, "FEB", 2, "MAR", 3, "APR", 4,"MAY", 5, "JUN",6, "JUL", 7, "AUG", 8, "SEP", 9, "OCT", 10, "NOV", 11, "DEC", 12, "NO")</f>
        <v>12</v>
      </c>
      <c r="E575">
        <v>2025</v>
      </c>
      <c r="F575" t="s">
        <v>1537</v>
      </c>
      <c r="G575">
        <f t="shared" si="26"/>
        <v>18</v>
      </c>
      <c r="H575">
        <v>42</v>
      </c>
      <c r="I575" t="s">
        <v>12</v>
      </c>
      <c r="J575">
        <v>300</v>
      </c>
      <c r="K575" t="s">
        <v>1538</v>
      </c>
      <c r="L575" t="s">
        <v>1539</v>
      </c>
      <c r="M575" t="str">
        <f t="shared" si="25"/>
        <v>Tuesday</v>
      </c>
    </row>
    <row r="576" spans="1:13" x14ac:dyDescent="0.3">
      <c r="A576" s="4">
        <f t="shared" si="24"/>
        <v>46006</v>
      </c>
      <c r="B576">
        <v>15</v>
      </c>
      <c r="C576" t="s">
        <v>1489</v>
      </c>
      <c r="D576" cm="1">
        <f t="array" ref="D576">_xlfn.SWITCH(C576, "JAN", 1, "FEB", 2, "MAR", 3, "APR", 4,"MAY", 5, "JUN",6, "JUL", 7, "AUG", 8, "SEP", 9, "OCT", 10, "NOV", 11, "DEC", 12, "NO")</f>
        <v>12</v>
      </c>
      <c r="E576">
        <v>2025</v>
      </c>
      <c r="F576" t="s">
        <v>1448</v>
      </c>
      <c r="G576">
        <f t="shared" si="26"/>
        <v>18</v>
      </c>
      <c r="H576">
        <v>23</v>
      </c>
      <c r="I576" t="s">
        <v>12</v>
      </c>
      <c r="J576">
        <v>30</v>
      </c>
      <c r="K576" t="s">
        <v>1540</v>
      </c>
      <c r="L576" t="s">
        <v>1541</v>
      </c>
      <c r="M576" t="str">
        <f t="shared" si="25"/>
        <v>Monday</v>
      </c>
    </row>
    <row r="577" spans="1:13" x14ac:dyDescent="0.3">
      <c r="A577" s="4">
        <f t="shared" si="24"/>
        <v>46005</v>
      </c>
      <c r="B577">
        <v>14</v>
      </c>
      <c r="C577" t="s">
        <v>1489</v>
      </c>
      <c r="D577" cm="1">
        <f t="array" ref="D577">_xlfn.SWITCH(C577, "JAN", 1, "FEB", 2, "MAR", 3, "APR", 4,"MAY", 5, "JUN",6, "JUL", 7, "AUG", 8, "SEP", 9, "OCT", 10, "NOV", 11, "DEC", 12, "NO")</f>
        <v>12</v>
      </c>
      <c r="E577">
        <v>2025</v>
      </c>
      <c r="F577" t="s">
        <v>1542</v>
      </c>
      <c r="G577">
        <f t="shared" si="26"/>
        <v>14</v>
      </c>
      <c r="H577">
        <v>34</v>
      </c>
      <c r="I577" t="s">
        <v>84</v>
      </c>
      <c r="J577">
        <v>3000</v>
      </c>
      <c r="K577" t="s">
        <v>1543</v>
      </c>
      <c r="L577" t="s">
        <v>1544</v>
      </c>
      <c r="M577" t="str">
        <f t="shared" si="25"/>
        <v>Sunday</v>
      </c>
    </row>
    <row r="578" spans="1:13" x14ac:dyDescent="0.3">
      <c r="A578" s="4">
        <f t="shared" ref="A578:A641" si="27">DATE(E578, D578, B578)</f>
        <v>46005</v>
      </c>
      <c r="B578">
        <v>14</v>
      </c>
      <c r="C578" t="s">
        <v>1489</v>
      </c>
      <c r="D578" cm="1">
        <f t="array" ref="D578">_xlfn.SWITCH(C578, "JAN", 1, "FEB", 2, "MAR", 3, "APR", 4,"MAY", 5, "JUN",6, "JUL", 7, "AUG", 8, "SEP", 9, "OCT", 10, "NOV", 11, "DEC", 12, "NO")</f>
        <v>12</v>
      </c>
      <c r="E578">
        <v>2025</v>
      </c>
      <c r="F578" t="s">
        <v>1545</v>
      </c>
      <c r="G578">
        <f t="shared" si="26"/>
        <v>7</v>
      </c>
      <c r="H578">
        <v>53</v>
      </c>
      <c r="I578" t="s">
        <v>12</v>
      </c>
      <c r="J578">
        <v>230</v>
      </c>
      <c r="K578" t="s">
        <v>1546</v>
      </c>
      <c r="L578" t="s">
        <v>1547</v>
      </c>
      <c r="M578" t="str">
        <f t="shared" ref="M578:M641" si="28">TEXT(A578, "DDDD")</f>
        <v>Sunday</v>
      </c>
    </row>
    <row r="579" spans="1:13" x14ac:dyDescent="0.3">
      <c r="A579" s="4">
        <f t="shared" si="27"/>
        <v>46004</v>
      </c>
      <c r="B579">
        <v>13</v>
      </c>
      <c r="C579" t="s">
        <v>1489</v>
      </c>
      <c r="D579" cm="1">
        <f t="array" ref="D579">_xlfn.SWITCH(C579, "JAN", 1, "FEB", 2, "MAR", 3, "APR", 4,"MAY", 5, "JUN",6, "JUL", 7, "AUG", 8, "SEP", 9, "OCT", 10, "NOV", 11, "DEC", 12, "NO")</f>
        <v>12</v>
      </c>
      <c r="E579">
        <v>2025</v>
      </c>
      <c r="F579" t="s">
        <v>1221</v>
      </c>
      <c r="G579">
        <f t="shared" ref="G579:G642" si="29">HOUR(F579)</f>
        <v>19</v>
      </c>
      <c r="H579">
        <v>31</v>
      </c>
      <c r="I579" t="s">
        <v>84</v>
      </c>
      <c r="J579">
        <v>400</v>
      </c>
      <c r="K579" t="s">
        <v>1548</v>
      </c>
      <c r="L579" t="s">
        <v>1549</v>
      </c>
      <c r="M579" t="str">
        <f t="shared" si="28"/>
        <v>Saturday</v>
      </c>
    </row>
    <row r="580" spans="1:13" x14ac:dyDescent="0.3">
      <c r="A580" s="4">
        <f t="shared" si="27"/>
        <v>46004</v>
      </c>
      <c r="B580">
        <v>13</v>
      </c>
      <c r="C580" t="s">
        <v>1489</v>
      </c>
      <c r="D580" cm="1">
        <f t="array" ref="D580">_xlfn.SWITCH(C580, "JAN", 1, "FEB", 2, "MAR", 3, "APR", 4,"MAY", 5, "JUN",6, "JUL", 7, "AUG", 8, "SEP", 9, "OCT", 10, "NOV", 11, "DEC", 12, "NO")</f>
        <v>12</v>
      </c>
      <c r="E580">
        <v>2025</v>
      </c>
      <c r="F580" t="s">
        <v>1550</v>
      </c>
      <c r="G580">
        <f t="shared" si="29"/>
        <v>19</v>
      </c>
      <c r="H580">
        <v>20</v>
      </c>
      <c r="I580" t="s">
        <v>84</v>
      </c>
      <c r="J580">
        <v>30</v>
      </c>
      <c r="K580" t="s">
        <v>1551</v>
      </c>
      <c r="L580" t="s">
        <v>1552</v>
      </c>
      <c r="M580" t="str">
        <f t="shared" si="28"/>
        <v>Saturday</v>
      </c>
    </row>
    <row r="581" spans="1:13" x14ac:dyDescent="0.3">
      <c r="A581" s="4">
        <f t="shared" si="27"/>
        <v>46004</v>
      </c>
      <c r="B581">
        <v>13</v>
      </c>
      <c r="C581" t="s">
        <v>1489</v>
      </c>
      <c r="D581" cm="1">
        <f t="array" ref="D581">_xlfn.SWITCH(C581, "JAN", 1, "FEB", 2, "MAR", 3, "APR", 4,"MAY", 5, "JUN",6, "JUL", 7, "AUG", 8, "SEP", 9, "OCT", 10, "NOV", 11, "DEC", 12, "NO")</f>
        <v>12</v>
      </c>
      <c r="E581">
        <v>2025</v>
      </c>
      <c r="F581" t="s">
        <v>1553</v>
      </c>
      <c r="G581">
        <f t="shared" si="29"/>
        <v>17</v>
      </c>
      <c r="H581">
        <v>53</v>
      </c>
      <c r="I581" t="s">
        <v>12</v>
      </c>
      <c r="J581">
        <v>270</v>
      </c>
      <c r="K581" t="s">
        <v>1554</v>
      </c>
      <c r="L581" t="s">
        <v>1555</v>
      </c>
      <c r="M581" t="str">
        <f t="shared" si="28"/>
        <v>Saturday</v>
      </c>
    </row>
    <row r="582" spans="1:13" x14ac:dyDescent="0.3">
      <c r="A582" s="4">
        <f t="shared" si="27"/>
        <v>45999</v>
      </c>
      <c r="B582">
        <v>8</v>
      </c>
      <c r="C582" t="s">
        <v>1489</v>
      </c>
      <c r="D582" cm="1">
        <f t="array" ref="D582">_xlfn.SWITCH(C582, "JAN", 1, "FEB", 2, "MAR", 3, "APR", 4,"MAY", 5, "JUN",6, "JUL", 7, "AUG", 8, "SEP", 9, "OCT", 10, "NOV", 11, "DEC", 12, "NO")</f>
        <v>12</v>
      </c>
      <c r="E582">
        <v>2025</v>
      </c>
      <c r="F582" t="s">
        <v>1556</v>
      </c>
      <c r="G582">
        <f t="shared" si="29"/>
        <v>21</v>
      </c>
      <c r="H582">
        <v>28</v>
      </c>
      <c r="I582" t="s">
        <v>12</v>
      </c>
      <c r="J582">
        <v>200</v>
      </c>
      <c r="K582" t="s">
        <v>1557</v>
      </c>
      <c r="L582" t="s">
        <v>1558</v>
      </c>
      <c r="M582" t="str">
        <f t="shared" si="28"/>
        <v>Monday</v>
      </c>
    </row>
    <row r="583" spans="1:13" x14ac:dyDescent="0.3">
      <c r="A583" s="4">
        <f t="shared" si="27"/>
        <v>45999</v>
      </c>
      <c r="B583">
        <v>8</v>
      </c>
      <c r="C583" t="s">
        <v>1489</v>
      </c>
      <c r="D583" cm="1">
        <f t="array" ref="D583">_xlfn.SWITCH(C583, "JAN", 1, "FEB", 2, "MAR", 3, "APR", 4,"MAY", 5, "JUN",6, "JUL", 7, "AUG", 8, "SEP", 9, "OCT", 10, "NOV", 11, "DEC", 12, "NO")</f>
        <v>12</v>
      </c>
      <c r="E583">
        <v>2025</v>
      </c>
      <c r="F583" t="s">
        <v>1040</v>
      </c>
      <c r="G583">
        <f t="shared" si="29"/>
        <v>21</v>
      </c>
      <c r="H583">
        <v>3</v>
      </c>
      <c r="I583" t="s">
        <v>12</v>
      </c>
      <c r="J583">
        <v>500</v>
      </c>
      <c r="K583" t="s">
        <v>1559</v>
      </c>
      <c r="L583" t="s">
        <v>1560</v>
      </c>
      <c r="M583" t="str">
        <f t="shared" si="28"/>
        <v>Monday</v>
      </c>
    </row>
    <row r="584" spans="1:13" x14ac:dyDescent="0.3">
      <c r="A584" s="4">
        <f t="shared" si="27"/>
        <v>45999</v>
      </c>
      <c r="B584">
        <v>8</v>
      </c>
      <c r="C584" t="s">
        <v>1489</v>
      </c>
      <c r="D584" cm="1">
        <f t="array" ref="D584">_xlfn.SWITCH(C584, "JAN", 1, "FEB", 2, "MAR", 3, "APR", 4,"MAY", 5, "JUN",6, "JUL", 7, "AUG", 8, "SEP", 9, "OCT", 10, "NOV", 11, "DEC", 12, "NO")</f>
        <v>12</v>
      </c>
      <c r="E584">
        <v>2025</v>
      </c>
      <c r="F584" t="s">
        <v>1466</v>
      </c>
      <c r="G584">
        <f t="shared" si="29"/>
        <v>13</v>
      </c>
      <c r="H584">
        <v>31</v>
      </c>
      <c r="I584" t="s">
        <v>84</v>
      </c>
      <c r="J584">
        <v>200</v>
      </c>
      <c r="K584" t="s">
        <v>1561</v>
      </c>
      <c r="L584" t="s">
        <v>1562</v>
      </c>
      <c r="M584" t="str">
        <f t="shared" si="28"/>
        <v>Monday</v>
      </c>
    </row>
    <row r="585" spans="1:13" x14ac:dyDescent="0.3">
      <c r="A585" s="4">
        <f t="shared" si="27"/>
        <v>45998</v>
      </c>
      <c r="B585">
        <v>7</v>
      </c>
      <c r="C585" t="s">
        <v>1489</v>
      </c>
      <c r="D585" cm="1">
        <f t="array" ref="D585">_xlfn.SWITCH(C585, "JAN", 1, "FEB", 2, "MAR", 3, "APR", 4,"MAY", 5, "JUN",6, "JUL", 7, "AUG", 8, "SEP", 9, "OCT", 10, "NOV", 11, "DEC", 12, "NO")</f>
        <v>12</v>
      </c>
      <c r="E585">
        <v>2025</v>
      </c>
      <c r="F585" t="s">
        <v>989</v>
      </c>
      <c r="G585">
        <f t="shared" si="29"/>
        <v>17</v>
      </c>
      <c r="H585">
        <v>18</v>
      </c>
      <c r="I585" t="s">
        <v>12</v>
      </c>
      <c r="J585">
        <v>2000</v>
      </c>
      <c r="K585" t="s">
        <v>1563</v>
      </c>
      <c r="L585" t="s">
        <v>1564</v>
      </c>
      <c r="M585" t="str">
        <f t="shared" si="28"/>
        <v>Sunday</v>
      </c>
    </row>
    <row r="586" spans="1:13" x14ac:dyDescent="0.3">
      <c r="A586" s="4">
        <f t="shared" si="27"/>
        <v>45998</v>
      </c>
      <c r="B586">
        <v>7</v>
      </c>
      <c r="C586" t="s">
        <v>1489</v>
      </c>
      <c r="D586" cm="1">
        <f t="array" ref="D586">_xlfn.SWITCH(C586, "JAN", 1, "FEB", 2, "MAR", 3, "APR", 4,"MAY", 5, "JUN",6, "JUL", 7, "AUG", 8, "SEP", 9, "OCT", 10, "NOV", 11, "DEC", 12, "NO")</f>
        <v>12</v>
      </c>
      <c r="E586">
        <v>2025</v>
      </c>
      <c r="F586" t="s">
        <v>849</v>
      </c>
      <c r="G586">
        <f t="shared" si="29"/>
        <v>13</v>
      </c>
      <c r="H586">
        <v>9</v>
      </c>
      <c r="I586" t="s">
        <v>84</v>
      </c>
      <c r="J586">
        <v>30</v>
      </c>
      <c r="K586" t="s">
        <v>1565</v>
      </c>
      <c r="L586" t="s">
        <v>1566</v>
      </c>
      <c r="M586" t="str">
        <f t="shared" si="28"/>
        <v>Sunday</v>
      </c>
    </row>
    <row r="587" spans="1:13" x14ac:dyDescent="0.3">
      <c r="A587" s="4">
        <f t="shared" si="27"/>
        <v>45997</v>
      </c>
      <c r="B587">
        <v>6</v>
      </c>
      <c r="C587" t="s">
        <v>1489</v>
      </c>
      <c r="D587" cm="1">
        <f t="array" ref="D587">_xlfn.SWITCH(C587, "JAN", 1, "FEB", 2, "MAR", 3, "APR", 4,"MAY", 5, "JUN",6, "JUL", 7, "AUG", 8, "SEP", 9, "OCT", 10, "NOV", 11, "DEC", 12, "NO")</f>
        <v>12</v>
      </c>
      <c r="E587">
        <v>2025</v>
      </c>
      <c r="F587" t="s">
        <v>1567</v>
      </c>
      <c r="G587">
        <f t="shared" si="29"/>
        <v>21</v>
      </c>
      <c r="H587">
        <v>0</v>
      </c>
      <c r="I587" t="s">
        <v>12</v>
      </c>
      <c r="J587">
        <v>500</v>
      </c>
      <c r="K587" t="s">
        <v>1568</v>
      </c>
      <c r="L587" t="s">
        <v>1569</v>
      </c>
      <c r="M587" t="str">
        <f t="shared" si="28"/>
        <v>Saturday</v>
      </c>
    </row>
    <row r="588" spans="1:13" x14ac:dyDescent="0.3">
      <c r="A588" s="4">
        <f t="shared" si="27"/>
        <v>45997</v>
      </c>
      <c r="B588">
        <v>6</v>
      </c>
      <c r="C588" t="s">
        <v>1489</v>
      </c>
      <c r="D588" cm="1">
        <f t="array" ref="D588">_xlfn.SWITCH(C588, "JAN", 1, "FEB", 2, "MAR", 3, "APR", 4,"MAY", 5, "JUN",6, "JUL", 7, "AUG", 8, "SEP", 9, "OCT", 10, "NOV", 11, "DEC", 12, "NO")</f>
        <v>12</v>
      </c>
      <c r="E588">
        <v>2025</v>
      </c>
      <c r="F588" t="s">
        <v>1570</v>
      </c>
      <c r="G588">
        <f t="shared" si="29"/>
        <v>20</v>
      </c>
      <c r="H588">
        <v>37</v>
      </c>
      <c r="I588" t="s">
        <v>12</v>
      </c>
      <c r="J588">
        <v>3000</v>
      </c>
      <c r="K588" t="s">
        <v>1571</v>
      </c>
      <c r="L588" t="s">
        <v>1572</v>
      </c>
      <c r="M588" t="str">
        <f t="shared" si="28"/>
        <v>Saturday</v>
      </c>
    </row>
    <row r="589" spans="1:13" x14ac:dyDescent="0.3">
      <c r="A589" s="4">
        <f t="shared" si="27"/>
        <v>45993</v>
      </c>
      <c r="B589">
        <v>2</v>
      </c>
      <c r="C589" t="s">
        <v>1489</v>
      </c>
      <c r="D589" cm="1">
        <f t="array" ref="D589">_xlfn.SWITCH(C589, "JAN", 1, "FEB", 2, "MAR", 3, "APR", 4,"MAY", 5, "JUN",6, "JUL", 7, "AUG", 8, "SEP", 9, "OCT", 10, "NOV", 11, "DEC", 12, "NO")</f>
        <v>12</v>
      </c>
      <c r="E589">
        <v>2025</v>
      </c>
      <c r="F589" t="s">
        <v>1215</v>
      </c>
      <c r="G589">
        <f t="shared" si="29"/>
        <v>20</v>
      </c>
      <c r="H589">
        <v>6</v>
      </c>
      <c r="I589" t="s">
        <v>12</v>
      </c>
      <c r="J589">
        <v>176</v>
      </c>
      <c r="K589" t="s">
        <v>1573</v>
      </c>
      <c r="L589" t="s">
        <v>1574</v>
      </c>
      <c r="M589" t="str">
        <f t="shared" si="28"/>
        <v>Tuesday</v>
      </c>
    </row>
    <row r="590" spans="1:13" x14ac:dyDescent="0.3">
      <c r="A590" s="4">
        <f t="shared" si="27"/>
        <v>45992</v>
      </c>
      <c r="B590">
        <v>1</v>
      </c>
      <c r="C590" t="s">
        <v>1489</v>
      </c>
      <c r="D590" cm="1">
        <f t="array" ref="D590">_xlfn.SWITCH(C590, "JAN", 1, "FEB", 2, "MAR", 3, "APR", 4,"MAY", 5, "JUN",6, "JUL", 7, "AUG", 8, "SEP", 9, "OCT", 10, "NOV", 11, "DEC", 12, "NO")</f>
        <v>12</v>
      </c>
      <c r="E590">
        <v>2025</v>
      </c>
      <c r="F590" t="s">
        <v>1575</v>
      </c>
      <c r="G590">
        <f t="shared" si="29"/>
        <v>18</v>
      </c>
      <c r="H590">
        <v>0</v>
      </c>
      <c r="I590" t="s">
        <v>84</v>
      </c>
      <c r="J590">
        <v>60</v>
      </c>
      <c r="K590" t="s">
        <v>1576</v>
      </c>
      <c r="L590" t="s">
        <v>1577</v>
      </c>
      <c r="M590" t="str">
        <f t="shared" si="28"/>
        <v>Monday</v>
      </c>
    </row>
    <row r="591" spans="1:13" x14ac:dyDescent="0.3">
      <c r="A591" s="4">
        <f t="shared" si="27"/>
        <v>45991</v>
      </c>
      <c r="B591">
        <v>30</v>
      </c>
      <c r="C591" t="s">
        <v>1578</v>
      </c>
      <c r="D591" cm="1">
        <f t="array" ref="D591">_xlfn.SWITCH(C591, "JAN", 1, "FEB", 2, "MAR", 3, "APR", 4,"MAY", 5, "JUN",6, "JUL", 7, "AUG", 8, "SEP", 9, "OCT", 10, "NOV", 11, "DEC", 12, "NO")</f>
        <v>11</v>
      </c>
      <c r="E591">
        <v>2025</v>
      </c>
      <c r="F591" t="s">
        <v>1579</v>
      </c>
      <c r="G591">
        <f t="shared" si="29"/>
        <v>18</v>
      </c>
      <c r="H591">
        <v>5</v>
      </c>
      <c r="I591" t="s">
        <v>12</v>
      </c>
      <c r="J591">
        <v>500</v>
      </c>
      <c r="K591" t="s">
        <v>1580</v>
      </c>
      <c r="L591" t="s">
        <v>1581</v>
      </c>
      <c r="M591" t="str">
        <f t="shared" si="28"/>
        <v>Sunday</v>
      </c>
    </row>
    <row r="592" spans="1:13" x14ac:dyDescent="0.3">
      <c r="A592" s="4">
        <f t="shared" si="27"/>
        <v>45990</v>
      </c>
      <c r="B592">
        <v>29</v>
      </c>
      <c r="C592" t="s">
        <v>1578</v>
      </c>
      <c r="D592" cm="1">
        <f t="array" ref="D592">_xlfn.SWITCH(C592, "JAN", 1, "FEB", 2, "MAR", 3, "APR", 4,"MAY", 5, "JUN",6, "JUL", 7, "AUG", 8, "SEP", 9, "OCT", 10, "NOV", 11, "DEC", 12, "NO")</f>
        <v>11</v>
      </c>
      <c r="E592">
        <v>2025</v>
      </c>
      <c r="F592" t="s">
        <v>1582</v>
      </c>
      <c r="G592">
        <f t="shared" si="29"/>
        <v>11</v>
      </c>
      <c r="H592">
        <v>24</v>
      </c>
      <c r="I592" t="s">
        <v>84</v>
      </c>
      <c r="J592">
        <v>500</v>
      </c>
      <c r="K592" t="s">
        <v>1583</v>
      </c>
      <c r="L592" t="s">
        <v>1584</v>
      </c>
      <c r="M592" t="str">
        <f t="shared" si="28"/>
        <v>Saturday</v>
      </c>
    </row>
    <row r="593" spans="1:13" x14ac:dyDescent="0.3">
      <c r="A593" s="4">
        <f t="shared" si="27"/>
        <v>45989</v>
      </c>
      <c r="B593">
        <v>28</v>
      </c>
      <c r="C593" t="s">
        <v>1578</v>
      </c>
      <c r="D593" cm="1">
        <f t="array" ref="D593">_xlfn.SWITCH(C593, "JAN", 1, "FEB", 2, "MAR", 3, "APR", 4,"MAY", 5, "JUN",6, "JUL", 7, "AUG", 8, "SEP", 9, "OCT", 10, "NOV", 11, "DEC", 12, "NO")</f>
        <v>11</v>
      </c>
      <c r="E593">
        <v>2025</v>
      </c>
      <c r="F593" t="s">
        <v>1585</v>
      </c>
      <c r="G593">
        <f t="shared" si="29"/>
        <v>11</v>
      </c>
      <c r="H593">
        <v>58</v>
      </c>
      <c r="I593" t="s">
        <v>84</v>
      </c>
      <c r="J593">
        <v>1500</v>
      </c>
      <c r="K593" t="s">
        <v>1586</v>
      </c>
      <c r="L593" t="s">
        <v>1587</v>
      </c>
      <c r="M593" t="str">
        <f t="shared" si="28"/>
        <v>Friday</v>
      </c>
    </row>
    <row r="594" spans="1:13" x14ac:dyDescent="0.3">
      <c r="A594" s="4">
        <f t="shared" si="27"/>
        <v>45989</v>
      </c>
      <c r="B594">
        <v>28</v>
      </c>
      <c r="C594" t="s">
        <v>1578</v>
      </c>
      <c r="D594" cm="1">
        <f t="array" ref="D594">_xlfn.SWITCH(C594, "JAN", 1, "FEB", 2, "MAR", 3, "APR", 4,"MAY", 5, "JUN",6, "JUL", 7, "AUG", 8, "SEP", 9, "OCT", 10, "NOV", 11, "DEC", 12, "NO")</f>
        <v>11</v>
      </c>
      <c r="E594">
        <v>2025</v>
      </c>
      <c r="F594" t="s">
        <v>1588</v>
      </c>
      <c r="G594">
        <f t="shared" si="29"/>
        <v>11</v>
      </c>
      <c r="H594">
        <v>20</v>
      </c>
      <c r="I594" t="s">
        <v>84</v>
      </c>
      <c r="J594">
        <v>500</v>
      </c>
      <c r="K594" t="s">
        <v>1589</v>
      </c>
      <c r="L594" t="s">
        <v>1590</v>
      </c>
      <c r="M594" t="str">
        <f t="shared" si="28"/>
        <v>Friday</v>
      </c>
    </row>
    <row r="595" spans="1:13" x14ac:dyDescent="0.3">
      <c r="A595" s="4">
        <f t="shared" si="27"/>
        <v>45989</v>
      </c>
      <c r="B595">
        <v>28</v>
      </c>
      <c r="C595" t="s">
        <v>1578</v>
      </c>
      <c r="D595" cm="1">
        <f t="array" ref="D595">_xlfn.SWITCH(C595, "JAN", 1, "FEB", 2, "MAR", 3, "APR", 4,"MAY", 5, "JUN",6, "JUL", 7, "AUG", 8, "SEP", 9, "OCT", 10, "NOV", 11, "DEC", 12, "NO")</f>
        <v>11</v>
      </c>
      <c r="E595">
        <v>2025</v>
      </c>
      <c r="F595" t="s">
        <v>1591</v>
      </c>
      <c r="G595">
        <f t="shared" si="29"/>
        <v>10</v>
      </c>
      <c r="H595">
        <v>37</v>
      </c>
      <c r="I595" t="s">
        <v>84</v>
      </c>
      <c r="J595">
        <v>1500</v>
      </c>
      <c r="K595" t="s">
        <v>1592</v>
      </c>
      <c r="L595" t="s">
        <v>1593</v>
      </c>
      <c r="M595" t="str">
        <f t="shared" si="28"/>
        <v>Friday</v>
      </c>
    </row>
    <row r="596" spans="1:13" x14ac:dyDescent="0.3">
      <c r="A596" s="4">
        <f t="shared" si="27"/>
        <v>45988</v>
      </c>
      <c r="B596">
        <v>27</v>
      </c>
      <c r="C596" t="s">
        <v>1578</v>
      </c>
      <c r="D596" cm="1">
        <f t="array" ref="D596">_xlfn.SWITCH(C596, "JAN", 1, "FEB", 2, "MAR", 3, "APR", 4,"MAY", 5, "JUN",6, "JUL", 7, "AUG", 8, "SEP", 9, "OCT", 10, "NOV", 11, "DEC", 12, "NO")</f>
        <v>11</v>
      </c>
      <c r="E596">
        <v>2025</v>
      </c>
      <c r="F596" t="s">
        <v>1594</v>
      </c>
      <c r="G596">
        <f t="shared" si="29"/>
        <v>8</v>
      </c>
      <c r="H596">
        <v>40</v>
      </c>
      <c r="I596" t="s">
        <v>12</v>
      </c>
      <c r="J596">
        <v>1000</v>
      </c>
      <c r="K596" t="s">
        <v>1595</v>
      </c>
      <c r="L596" t="s">
        <v>1596</v>
      </c>
      <c r="M596" t="str">
        <f t="shared" si="28"/>
        <v>Thursday</v>
      </c>
    </row>
    <row r="597" spans="1:13" x14ac:dyDescent="0.3">
      <c r="A597" s="4">
        <f t="shared" si="27"/>
        <v>45987</v>
      </c>
      <c r="B597">
        <v>26</v>
      </c>
      <c r="C597" t="s">
        <v>1578</v>
      </c>
      <c r="D597" cm="1">
        <f t="array" ref="D597">_xlfn.SWITCH(C597, "JAN", 1, "FEB", 2, "MAR", 3, "APR", 4,"MAY", 5, "JUN",6, "JUL", 7, "AUG", 8, "SEP", 9, "OCT", 10, "NOV", 11, "DEC", 12, "NO")</f>
        <v>11</v>
      </c>
      <c r="E597">
        <v>2025</v>
      </c>
      <c r="F597" t="s">
        <v>936</v>
      </c>
      <c r="G597">
        <f t="shared" si="29"/>
        <v>18</v>
      </c>
      <c r="H597">
        <v>51</v>
      </c>
      <c r="I597" t="s">
        <v>12</v>
      </c>
      <c r="J597">
        <v>400</v>
      </c>
      <c r="K597" t="s">
        <v>1597</v>
      </c>
      <c r="L597" t="s">
        <v>1598</v>
      </c>
      <c r="M597" t="str">
        <f t="shared" si="28"/>
        <v>Wednesday</v>
      </c>
    </row>
    <row r="598" spans="1:13" x14ac:dyDescent="0.3">
      <c r="A598" s="4">
        <f t="shared" si="27"/>
        <v>45983</v>
      </c>
      <c r="B598">
        <v>22</v>
      </c>
      <c r="C598" t="s">
        <v>1578</v>
      </c>
      <c r="D598" cm="1">
        <f t="array" ref="D598">_xlfn.SWITCH(C598, "JAN", 1, "FEB", 2, "MAR", 3, "APR", 4,"MAY", 5, "JUN",6, "JUL", 7, "AUG", 8, "SEP", 9, "OCT", 10, "NOV", 11, "DEC", 12, "NO")</f>
        <v>11</v>
      </c>
      <c r="E598">
        <v>2025</v>
      </c>
      <c r="F598" t="s">
        <v>712</v>
      </c>
      <c r="G598">
        <f t="shared" si="29"/>
        <v>19</v>
      </c>
      <c r="H598">
        <v>50</v>
      </c>
      <c r="I598" t="s">
        <v>84</v>
      </c>
      <c r="J598">
        <v>500</v>
      </c>
      <c r="K598" t="s">
        <v>1599</v>
      </c>
      <c r="L598" t="s">
        <v>1600</v>
      </c>
      <c r="M598" t="str">
        <f t="shared" si="28"/>
        <v>Saturday</v>
      </c>
    </row>
    <row r="599" spans="1:13" x14ac:dyDescent="0.3">
      <c r="A599" s="4">
        <f t="shared" si="27"/>
        <v>45983</v>
      </c>
      <c r="B599">
        <v>22</v>
      </c>
      <c r="C599" t="s">
        <v>1578</v>
      </c>
      <c r="D599" cm="1">
        <f t="array" ref="D599">_xlfn.SWITCH(C599, "JAN", 1, "FEB", 2, "MAR", 3, "APR", 4,"MAY", 5, "JUN",6, "JUL", 7, "AUG", 8, "SEP", 9, "OCT", 10, "NOV", 11, "DEC", 12, "NO")</f>
        <v>11</v>
      </c>
      <c r="E599">
        <v>2025</v>
      </c>
      <c r="F599" t="s">
        <v>1601</v>
      </c>
      <c r="G599">
        <f t="shared" si="29"/>
        <v>19</v>
      </c>
      <c r="H599">
        <v>3</v>
      </c>
      <c r="I599" t="s">
        <v>12</v>
      </c>
      <c r="J599">
        <v>1180</v>
      </c>
      <c r="K599" t="s">
        <v>1602</v>
      </c>
      <c r="L599" t="s">
        <v>1603</v>
      </c>
      <c r="M599" t="str">
        <f t="shared" si="28"/>
        <v>Saturday</v>
      </c>
    </row>
    <row r="600" spans="1:13" x14ac:dyDescent="0.3">
      <c r="A600" s="4">
        <f t="shared" si="27"/>
        <v>45981</v>
      </c>
      <c r="B600">
        <v>20</v>
      </c>
      <c r="C600" t="s">
        <v>1578</v>
      </c>
      <c r="D600" cm="1">
        <f t="array" ref="D600">_xlfn.SWITCH(C600, "JAN", 1, "FEB", 2, "MAR", 3, "APR", 4,"MAY", 5, "JUN",6, "JUL", 7, "AUG", 8, "SEP", 9, "OCT", 10, "NOV", 11, "DEC", 12, "NO")</f>
        <v>11</v>
      </c>
      <c r="E600">
        <v>2025</v>
      </c>
      <c r="F600" t="s">
        <v>946</v>
      </c>
      <c r="G600">
        <f t="shared" si="29"/>
        <v>18</v>
      </c>
      <c r="H600">
        <v>18</v>
      </c>
      <c r="I600" t="s">
        <v>84</v>
      </c>
      <c r="J600">
        <v>2300</v>
      </c>
      <c r="K600" t="s">
        <v>1604</v>
      </c>
      <c r="L600" t="s">
        <v>1605</v>
      </c>
      <c r="M600" t="str">
        <f t="shared" si="28"/>
        <v>Thursday</v>
      </c>
    </row>
    <row r="601" spans="1:13" x14ac:dyDescent="0.3">
      <c r="A601" s="4">
        <f t="shared" si="27"/>
        <v>45981</v>
      </c>
      <c r="B601">
        <v>20</v>
      </c>
      <c r="C601" t="s">
        <v>1578</v>
      </c>
      <c r="D601" cm="1">
        <f t="array" ref="D601">_xlfn.SWITCH(C601, "JAN", 1, "FEB", 2, "MAR", 3, "APR", 4,"MAY", 5, "JUN",6, "JUL", 7, "AUG", 8, "SEP", 9, "OCT", 10, "NOV", 11, "DEC", 12, "NO")</f>
        <v>11</v>
      </c>
      <c r="E601">
        <v>2025</v>
      </c>
      <c r="F601" t="s">
        <v>1606</v>
      </c>
      <c r="G601">
        <f t="shared" si="29"/>
        <v>13</v>
      </c>
      <c r="H601">
        <v>29</v>
      </c>
      <c r="I601" t="s">
        <v>84</v>
      </c>
      <c r="J601">
        <v>80</v>
      </c>
      <c r="K601" t="s">
        <v>1607</v>
      </c>
      <c r="L601" t="s">
        <v>1608</v>
      </c>
      <c r="M601" t="str">
        <f t="shared" si="28"/>
        <v>Thursday</v>
      </c>
    </row>
    <row r="602" spans="1:13" x14ac:dyDescent="0.3">
      <c r="A602" s="4">
        <f t="shared" si="27"/>
        <v>45980</v>
      </c>
      <c r="B602">
        <v>19</v>
      </c>
      <c r="C602" t="s">
        <v>1578</v>
      </c>
      <c r="D602" cm="1">
        <f t="array" ref="D602">_xlfn.SWITCH(C602, "JAN", 1, "FEB", 2, "MAR", 3, "APR", 4,"MAY", 5, "JUN",6, "JUL", 7, "AUG", 8, "SEP", 9, "OCT", 10, "NOV", 11, "DEC", 12, "NO")</f>
        <v>11</v>
      </c>
      <c r="E602">
        <v>2025</v>
      </c>
      <c r="F602" t="s">
        <v>1609</v>
      </c>
      <c r="G602">
        <f t="shared" si="29"/>
        <v>22</v>
      </c>
      <c r="H602">
        <v>43</v>
      </c>
      <c r="I602" t="s">
        <v>84</v>
      </c>
      <c r="J602">
        <v>19</v>
      </c>
      <c r="K602" t="s">
        <v>1610</v>
      </c>
      <c r="L602" t="s">
        <v>1611</v>
      </c>
      <c r="M602" t="str">
        <f t="shared" si="28"/>
        <v>Wednesday</v>
      </c>
    </row>
    <row r="603" spans="1:13" x14ac:dyDescent="0.3">
      <c r="A603" s="4">
        <f t="shared" si="27"/>
        <v>45980</v>
      </c>
      <c r="B603">
        <v>19</v>
      </c>
      <c r="C603" t="s">
        <v>1578</v>
      </c>
      <c r="D603" cm="1">
        <f t="array" ref="D603">_xlfn.SWITCH(C603, "JAN", 1, "FEB", 2, "MAR", 3, "APR", 4,"MAY", 5, "JUN",6, "JUL", 7, "AUG", 8, "SEP", 9, "OCT", 10, "NOV", 11, "DEC", 12, "NO")</f>
        <v>11</v>
      </c>
      <c r="E603">
        <v>2025</v>
      </c>
      <c r="F603" t="s">
        <v>1612</v>
      </c>
      <c r="G603">
        <f t="shared" si="29"/>
        <v>21</v>
      </c>
      <c r="H603">
        <v>5</v>
      </c>
      <c r="I603" t="s">
        <v>12</v>
      </c>
      <c r="J603">
        <v>2300</v>
      </c>
      <c r="K603" t="s">
        <v>1613</v>
      </c>
      <c r="L603" t="s">
        <v>1614</v>
      </c>
      <c r="M603" t="str">
        <f t="shared" si="28"/>
        <v>Wednesday</v>
      </c>
    </row>
    <row r="604" spans="1:13" x14ac:dyDescent="0.3">
      <c r="A604" s="4">
        <f t="shared" si="27"/>
        <v>45979</v>
      </c>
      <c r="B604">
        <v>18</v>
      </c>
      <c r="C604" t="s">
        <v>1578</v>
      </c>
      <c r="D604" cm="1">
        <f t="array" ref="D604">_xlfn.SWITCH(C604, "JAN", 1, "FEB", 2, "MAR", 3, "APR", 4,"MAY", 5, "JUN",6, "JUL", 7, "AUG", 8, "SEP", 9, "OCT", 10, "NOV", 11, "DEC", 12, "NO")</f>
        <v>11</v>
      </c>
      <c r="E604">
        <v>2025</v>
      </c>
      <c r="F604" t="s">
        <v>1295</v>
      </c>
      <c r="G604">
        <f t="shared" si="29"/>
        <v>15</v>
      </c>
      <c r="H604">
        <v>10</v>
      </c>
      <c r="I604" t="s">
        <v>84</v>
      </c>
      <c r="J604">
        <v>20000</v>
      </c>
      <c r="K604" t="s">
        <v>1615</v>
      </c>
      <c r="L604" t="s">
        <v>1616</v>
      </c>
      <c r="M604" t="str">
        <f t="shared" si="28"/>
        <v>Tuesday</v>
      </c>
    </row>
    <row r="605" spans="1:13" x14ac:dyDescent="0.3">
      <c r="A605" s="4">
        <f t="shared" si="27"/>
        <v>45979</v>
      </c>
      <c r="B605">
        <v>18</v>
      </c>
      <c r="C605" t="s">
        <v>1578</v>
      </c>
      <c r="D605" cm="1">
        <f t="array" ref="D605">_xlfn.SWITCH(C605, "JAN", 1, "FEB", 2, "MAR", 3, "APR", 4,"MAY", 5, "JUN",6, "JUL", 7, "AUG", 8, "SEP", 9, "OCT", 10, "NOV", 11, "DEC", 12, "NO")</f>
        <v>11</v>
      </c>
      <c r="E605">
        <v>2025</v>
      </c>
      <c r="F605" t="s">
        <v>1617</v>
      </c>
      <c r="G605">
        <f t="shared" si="29"/>
        <v>15</v>
      </c>
      <c r="H605">
        <v>8</v>
      </c>
      <c r="I605" t="s">
        <v>84</v>
      </c>
      <c r="J605">
        <v>5500</v>
      </c>
      <c r="K605" t="s">
        <v>1618</v>
      </c>
      <c r="L605" t="s">
        <v>1619</v>
      </c>
      <c r="M605" t="str">
        <f t="shared" si="28"/>
        <v>Tuesday</v>
      </c>
    </row>
    <row r="606" spans="1:13" x14ac:dyDescent="0.3">
      <c r="A606" s="4">
        <f t="shared" si="27"/>
        <v>45979</v>
      </c>
      <c r="B606">
        <v>18</v>
      </c>
      <c r="C606" t="s">
        <v>1578</v>
      </c>
      <c r="D606" cm="1">
        <f t="array" ref="D606">_xlfn.SWITCH(C606, "JAN", 1, "FEB", 2, "MAR", 3, "APR", 4,"MAY", 5, "JUN",6, "JUL", 7, "AUG", 8, "SEP", 9, "OCT", 10, "NOV", 11, "DEC", 12, "NO")</f>
        <v>11</v>
      </c>
      <c r="E606">
        <v>2025</v>
      </c>
      <c r="F606" t="s">
        <v>852</v>
      </c>
      <c r="G606">
        <f t="shared" si="29"/>
        <v>12</v>
      </c>
      <c r="H606">
        <v>57</v>
      </c>
      <c r="I606" t="s">
        <v>84</v>
      </c>
      <c r="J606">
        <v>1000</v>
      </c>
      <c r="K606" t="s">
        <v>1620</v>
      </c>
      <c r="L606" t="s">
        <v>1621</v>
      </c>
      <c r="M606" t="str">
        <f t="shared" si="28"/>
        <v>Tuesday</v>
      </c>
    </row>
    <row r="607" spans="1:13" x14ac:dyDescent="0.3">
      <c r="A607" s="4">
        <f t="shared" si="27"/>
        <v>45978</v>
      </c>
      <c r="B607">
        <v>17</v>
      </c>
      <c r="C607" t="s">
        <v>1578</v>
      </c>
      <c r="D607" cm="1">
        <f t="array" ref="D607">_xlfn.SWITCH(C607, "JAN", 1, "FEB", 2, "MAR", 3, "APR", 4,"MAY", 5, "JUN",6, "JUL", 7, "AUG", 8, "SEP", 9, "OCT", 10, "NOV", 11, "DEC", 12, "NO")</f>
        <v>11</v>
      </c>
      <c r="E607">
        <v>2025</v>
      </c>
      <c r="F607" t="s">
        <v>668</v>
      </c>
      <c r="G607">
        <f t="shared" si="29"/>
        <v>17</v>
      </c>
      <c r="H607">
        <v>47</v>
      </c>
      <c r="I607" t="s">
        <v>12</v>
      </c>
      <c r="J607">
        <v>4500</v>
      </c>
      <c r="K607" t="s">
        <v>1622</v>
      </c>
      <c r="L607" t="s">
        <v>1623</v>
      </c>
      <c r="M607" t="str">
        <f t="shared" si="28"/>
        <v>Monday</v>
      </c>
    </row>
    <row r="608" spans="1:13" x14ac:dyDescent="0.3">
      <c r="A608" s="4">
        <f t="shared" si="27"/>
        <v>45978</v>
      </c>
      <c r="B608">
        <v>17</v>
      </c>
      <c r="C608" t="s">
        <v>1578</v>
      </c>
      <c r="D608" cm="1">
        <f t="array" ref="D608">_xlfn.SWITCH(C608, "JAN", 1, "FEB", 2, "MAR", 3, "APR", 4,"MAY", 5, "JUN",6, "JUL", 7, "AUG", 8, "SEP", 9, "OCT", 10, "NOV", 11, "DEC", 12, "NO")</f>
        <v>11</v>
      </c>
      <c r="E608">
        <v>2025</v>
      </c>
      <c r="F608" t="s">
        <v>328</v>
      </c>
      <c r="G608">
        <f t="shared" si="29"/>
        <v>17</v>
      </c>
      <c r="H608">
        <v>22</v>
      </c>
      <c r="I608" t="s">
        <v>12</v>
      </c>
      <c r="J608">
        <v>22000</v>
      </c>
      <c r="K608" t="s">
        <v>1624</v>
      </c>
      <c r="L608" t="s">
        <v>1625</v>
      </c>
      <c r="M608" t="str">
        <f t="shared" si="28"/>
        <v>Monday</v>
      </c>
    </row>
    <row r="609" spans="1:13" x14ac:dyDescent="0.3">
      <c r="A609" s="4">
        <f t="shared" si="27"/>
        <v>45978</v>
      </c>
      <c r="B609">
        <v>17</v>
      </c>
      <c r="C609" t="s">
        <v>1578</v>
      </c>
      <c r="D609" cm="1">
        <f t="array" ref="D609">_xlfn.SWITCH(C609, "JAN", 1, "FEB", 2, "MAR", 3, "APR", 4,"MAY", 5, "JUN",6, "JUL", 7, "AUG", 8, "SEP", 9, "OCT", 10, "NOV", 11, "DEC", 12, "NO")</f>
        <v>11</v>
      </c>
      <c r="E609">
        <v>2025</v>
      </c>
      <c r="F609" t="s">
        <v>1626</v>
      </c>
      <c r="G609">
        <f t="shared" si="29"/>
        <v>8</v>
      </c>
      <c r="H609">
        <v>28</v>
      </c>
      <c r="I609" t="s">
        <v>84</v>
      </c>
      <c r="J609">
        <v>1</v>
      </c>
      <c r="K609" t="s">
        <v>1627</v>
      </c>
      <c r="L609" t="s">
        <v>1628</v>
      </c>
      <c r="M609" t="str">
        <f t="shared" si="28"/>
        <v>Monday</v>
      </c>
    </row>
    <row r="610" spans="1:13" x14ac:dyDescent="0.3">
      <c r="A610" s="4">
        <f t="shared" si="27"/>
        <v>45976</v>
      </c>
      <c r="B610">
        <v>15</v>
      </c>
      <c r="C610" t="s">
        <v>1578</v>
      </c>
      <c r="D610" cm="1">
        <f t="array" ref="D610">_xlfn.SWITCH(C610, "JAN", 1, "FEB", 2, "MAR", 3, "APR", 4,"MAY", 5, "JUN",6, "JUL", 7, "AUG", 8, "SEP", 9, "OCT", 10, "NOV", 11, "DEC", 12, "NO")</f>
        <v>11</v>
      </c>
      <c r="E610">
        <v>2025</v>
      </c>
      <c r="F610" t="s">
        <v>1629</v>
      </c>
      <c r="G610">
        <f t="shared" si="29"/>
        <v>22</v>
      </c>
      <c r="H610">
        <v>14</v>
      </c>
      <c r="I610" t="s">
        <v>84</v>
      </c>
      <c r="J610">
        <v>19</v>
      </c>
      <c r="K610" t="s">
        <v>1630</v>
      </c>
      <c r="L610" t="s">
        <v>1631</v>
      </c>
      <c r="M610" t="str">
        <f t="shared" si="28"/>
        <v>Saturday</v>
      </c>
    </row>
    <row r="611" spans="1:13" x14ac:dyDescent="0.3">
      <c r="A611" s="4">
        <f t="shared" si="27"/>
        <v>45973</v>
      </c>
      <c r="B611">
        <v>12</v>
      </c>
      <c r="C611" t="s">
        <v>1578</v>
      </c>
      <c r="D611" cm="1">
        <f t="array" ref="D611">_xlfn.SWITCH(C611, "JAN", 1, "FEB", 2, "MAR", 3, "APR", 4,"MAY", 5, "JUN",6, "JUL", 7, "AUG", 8, "SEP", 9, "OCT", 10, "NOV", 11, "DEC", 12, "NO")</f>
        <v>11</v>
      </c>
      <c r="E611">
        <v>2025</v>
      </c>
      <c r="F611" t="s">
        <v>803</v>
      </c>
      <c r="G611">
        <f t="shared" si="29"/>
        <v>16</v>
      </c>
      <c r="H611">
        <v>1</v>
      </c>
      <c r="I611" t="s">
        <v>84</v>
      </c>
      <c r="J611">
        <v>100</v>
      </c>
      <c r="K611" t="s">
        <v>1632</v>
      </c>
      <c r="L611" t="s">
        <v>1633</v>
      </c>
      <c r="M611" t="str">
        <f t="shared" si="28"/>
        <v>Wednesday</v>
      </c>
    </row>
    <row r="612" spans="1:13" x14ac:dyDescent="0.3">
      <c r="A612" s="4">
        <f t="shared" si="27"/>
        <v>45972</v>
      </c>
      <c r="B612">
        <v>11</v>
      </c>
      <c r="C612" t="s">
        <v>1578</v>
      </c>
      <c r="D612" cm="1">
        <f t="array" ref="D612">_xlfn.SWITCH(C612, "JAN", 1, "FEB", 2, "MAR", 3, "APR", 4,"MAY", 5, "JUN",6, "JUL", 7, "AUG", 8, "SEP", 9, "OCT", 10, "NOV", 11, "DEC", 12, "NO")</f>
        <v>11</v>
      </c>
      <c r="E612">
        <v>2025</v>
      </c>
      <c r="F612" t="s">
        <v>1634</v>
      </c>
      <c r="G612">
        <f t="shared" si="29"/>
        <v>7</v>
      </c>
      <c r="H612">
        <v>57</v>
      </c>
      <c r="I612" t="s">
        <v>84</v>
      </c>
      <c r="J612">
        <v>2850</v>
      </c>
      <c r="K612" t="s">
        <v>1635</v>
      </c>
      <c r="L612" t="s">
        <v>1636</v>
      </c>
      <c r="M612" t="str">
        <f t="shared" si="28"/>
        <v>Tuesday</v>
      </c>
    </row>
    <row r="613" spans="1:13" x14ac:dyDescent="0.3">
      <c r="A613" s="4">
        <f t="shared" si="27"/>
        <v>45971</v>
      </c>
      <c r="B613">
        <v>10</v>
      </c>
      <c r="C613" t="s">
        <v>1578</v>
      </c>
      <c r="D613" cm="1">
        <f t="array" ref="D613">_xlfn.SWITCH(C613, "JAN", 1, "FEB", 2, "MAR", 3, "APR", 4,"MAY", 5, "JUN",6, "JUL", 7, "AUG", 8, "SEP", 9, "OCT", 10, "NOV", 11, "DEC", 12, "NO")</f>
        <v>11</v>
      </c>
      <c r="E613">
        <v>2025</v>
      </c>
      <c r="F613" t="s">
        <v>269</v>
      </c>
      <c r="G613">
        <f t="shared" si="29"/>
        <v>18</v>
      </c>
      <c r="H613">
        <v>13</v>
      </c>
      <c r="I613" t="s">
        <v>12</v>
      </c>
      <c r="J613">
        <v>1150</v>
      </c>
      <c r="K613" t="s">
        <v>1637</v>
      </c>
      <c r="L613" t="s">
        <v>1638</v>
      </c>
      <c r="M613" t="str">
        <f t="shared" si="28"/>
        <v>Monday</v>
      </c>
    </row>
    <row r="614" spans="1:13" x14ac:dyDescent="0.3">
      <c r="A614" s="4">
        <f t="shared" si="27"/>
        <v>45971</v>
      </c>
      <c r="B614">
        <v>10</v>
      </c>
      <c r="C614" t="s">
        <v>1578</v>
      </c>
      <c r="D614" cm="1">
        <f t="array" ref="D614">_xlfn.SWITCH(C614, "JAN", 1, "FEB", 2, "MAR", 3, "APR", 4,"MAY", 5, "JUN",6, "JUL", 7, "AUG", 8, "SEP", 9, "OCT", 10, "NOV", 11, "DEC", 12, "NO")</f>
        <v>11</v>
      </c>
      <c r="E614">
        <v>2025</v>
      </c>
      <c r="F614" t="s">
        <v>105</v>
      </c>
      <c r="G614">
        <f t="shared" si="29"/>
        <v>17</v>
      </c>
      <c r="H614">
        <v>34</v>
      </c>
      <c r="I614" t="s">
        <v>84</v>
      </c>
      <c r="J614">
        <v>175</v>
      </c>
      <c r="K614" t="s">
        <v>1639</v>
      </c>
      <c r="L614" t="s">
        <v>1640</v>
      </c>
      <c r="M614" t="str">
        <f t="shared" si="28"/>
        <v>Monday</v>
      </c>
    </row>
    <row r="615" spans="1:13" x14ac:dyDescent="0.3">
      <c r="A615" s="4">
        <f t="shared" si="27"/>
        <v>45971</v>
      </c>
      <c r="B615">
        <v>10</v>
      </c>
      <c r="C615" t="s">
        <v>1578</v>
      </c>
      <c r="D615" cm="1">
        <f t="array" ref="D615">_xlfn.SWITCH(C615, "JAN", 1, "FEB", 2, "MAR", 3, "APR", 4,"MAY", 5, "JUN",6, "JUL", 7, "AUG", 8, "SEP", 9, "OCT", 10, "NOV", 11, "DEC", 12, "NO")</f>
        <v>11</v>
      </c>
      <c r="E615">
        <v>2025</v>
      </c>
      <c r="F615" t="s">
        <v>984</v>
      </c>
      <c r="G615">
        <f t="shared" si="29"/>
        <v>17</v>
      </c>
      <c r="H615">
        <v>32</v>
      </c>
      <c r="I615" t="s">
        <v>12</v>
      </c>
      <c r="J615">
        <v>500</v>
      </c>
      <c r="K615" t="s">
        <v>1641</v>
      </c>
      <c r="L615" t="s">
        <v>1642</v>
      </c>
      <c r="M615" t="str">
        <f t="shared" si="28"/>
        <v>Monday</v>
      </c>
    </row>
    <row r="616" spans="1:13" x14ac:dyDescent="0.3">
      <c r="A616" s="4">
        <f t="shared" si="27"/>
        <v>45969</v>
      </c>
      <c r="B616">
        <v>8</v>
      </c>
      <c r="C616" t="s">
        <v>1578</v>
      </c>
      <c r="D616" cm="1">
        <f t="array" ref="D616">_xlfn.SWITCH(C616, "JAN", 1, "FEB", 2, "MAR", 3, "APR", 4,"MAY", 5, "JUN",6, "JUL", 7, "AUG", 8, "SEP", 9, "OCT", 10, "NOV", 11, "DEC", 12, "NO")</f>
        <v>11</v>
      </c>
      <c r="E616">
        <v>2025</v>
      </c>
      <c r="F616" t="s">
        <v>1643</v>
      </c>
      <c r="G616">
        <f t="shared" si="29"/>
        <v>22</v>
      </c>
      <c r="H616">
        <v>6</v>
      </c>
      <c r="I616" t="s">
        <v>12</v>
      </c>
      <c r="J616">
        <v>1200</v>
      </c>
      <c r="K616" t="s">
        <v>1644</v>
      </c>
      <c r="L616" t="s">
        <v>1645</v>
      </c>
      <c r="M616" t="str">
        <f t="shared" si="28"/>
        <v>Saturday</v>
      </c>
    </row>
    <row r="617" spans="1:13" x14ac:dyDescent="0.3">
      <c r="A617" s="4">
        <f t="shared" si="27"/>
        <v>45969</v>
      </c>
      <c r="B617">
        <v>8</v>
      </c>
      <c r="C617" t="s">
        <v>1578</v>
      </c>
      <c r="D617" cm="1">
        <f t="array" ref="D617">_xlfn.SWITCH(C617, "JAN", 1, "FEB", 2, "MAR", 3, "APR", 4,"MAY", 5, "JUN",6, "JUL", 7, "AUG", 8, "SEP", 9, "OCT", 10, "NOV", 11, "DEC", 12, "NO")</f>
        <v>11</v>
      </c>
      <c r="E617">
        <v>2025</v>
      </c>
      <c r="F617" t="s">
        <v>1646</v>
      </c>
      <c r="G617">
        <f t="shared" si="29"/>
        <v>17</v>
      </c>
      <c r="H617">
        <v>38</v>
      </c>
      <c r="I617" t="s">
        <v>84</v>
      </c>
      <c r="J617">
        <v>48</v>
      </c>
      <c r="K617" t="s">
        <v>1647</v>
      </c>
      <c r="L617" t="s">
        <v>1648</v>
      </c>
      <c r="M617" t="str">
        <f t="shared" si="28"/>
        <v>Saturday</v>
      </c>
    </row>
    <row r="618" spans="1:13" x14ac:dyDescent="0.3">
      <c r="A618" s="4">
        <f t="shared" si="27"/>
        <v>45969</v>
      </c>
      <c r="B618">
        <v>8</v>
      </c>
      <c r="C618" t="s">
        <v>1578</v>
      </c>
      <c r="D618" cm="1">
        <f t="array" ref="D618">_xlfn.SWITCH(C618, "JAN", 1, "FEB", 2, "MAR", 3, "APR", 4,"MAY", 5, "JUN",6, "JUL", 7, "AUG", 8, "SEP", 9, "OCT", 10, "NOV", 11, "DEC", 12, "NO")</f>
        <v>11</v>
      </c>
      <c r="E618">
        <v>2025</v>
      </c>
      <c r="F618" t="s">
        <v>1649</v>
      </c>
      <c r="G618">
        <f t="shared" si="29"/>
        <v>14</v>
      </c>
      <c r="H618">
        <v>15</v>
      </c>
      <c r="I618" t="s">
        <v>84</v>
      </c>
      <c r="J618">
        <v>940</v>
      </c>
      <c r="K618" t="s">
        <v>1650</v>
      </c>
      <c r="L618" t="s">
        <v>1651</v>
      </c>
      <c r="M618" t="str">
        <f t="shared" si="28"/>
        <v>Saturday</v>
      </c>
    </row>
    <row r="619" spans="1:13" x14ac:dyDescent="0.3">
      <c r="A619" s="4">
        <f t="shared" si="27"/>
        <v>45969</v>
      </c>
      <c r="B619">
        <v>8</v>
      </c>
      <c r="C619" t="s">
        <v>1578</v>
      </c>
      <c r="D619" cm="1">
        <f t="array" ref="D619">_xlfn.SWITCH(C619, "JAN", 1, "FEB", 2, "MAR", 3, "APR", 4,"MAY", 5, "JUN",6, "JUL", 7, "AUG", 8, "SEP", 9, "OCT", 10, "NOV", 11, "DEC", 12, "NO")</f>
        <v>11</v>
      </c>
      <c r="E619">
        <v>2025</v>
      </c>
      <c r="F619" t="s">
        <v>606</v>
      </c>
      <c r="G619">
        <f t="shared" si="29"/>
        <v>10</v>
      </c>
      <c r="H619">
        <v>49</v>
      </c>
      <c r="I619" t="s">
        <v>12</v>
      </c>
      <c r="J619">
        <v>500</v>
      </c>
      <c r="K619" t="s">
        <v>1652</v>
      </c>
      <c r="L619" t="s">
        <v>1653</v>
      </c>
      <c r="M619" t="str">
        <f t="shared" si="28"/>
        <v>Saturday</v>
      </c>
    </row>
    <row r="620" spans="1:13" x14ac:dyDescent="0.3">
      <c r="A620" s="4">
        <f t="shared" si="27"/>
        <v>45968</v>
      </c>
      <c r="B620">
        <v>7</v>
      </c>
      <c r="C620" t="s">
        <v>1578</v>
      </c>
      <c r="D620" cm="1">
        <f t="array" ref="D620">_xlfn.SWITCH(C620, "JAN", 1, "FEB", 2, "MAR", 3, "APR", 4,"MAY", 5, "JUN",6, "JUL", 7, "AUG", 8, "SEP", 9, "OCT", 10, "NOV", 11, "DEC", 12, "NO")</f>
        <v>11</v>
      </c>
      <c r="E620">
        <v>2025</v>
      </c>
      <c r="F620" t="s">
        <v>1654</v>
      </c>
      <c r="G620">
        <f t="shared" si="29"/>
        <v>18</v>
      </c>
      <c r="H620">
        <v>44</v>
      </c>
      <c r="I620" t="s">
        <v>12</v>
      </c>
      <c r="J620">
        <v>940</v>
      </c>
      <c r="K620" t="s">
        <v>1655</v>
      </c>
      <c r="L620" t="s">
        <v>1656</v>
      </c>
      <c r="M620" t="str">
        <f t="shared" si="28"/>
        <v>Friday</v>
      </c>
    </row>
    <row r="621" spans="1:13" x14ac:dyDescent="0.3">
      <c r="A621" s="4">
        <f t="shared" si="27"/>
        <v>45967</v>
      </c>
      <c r="B621">
        <v>6</v>
      </c>
      <c r="C621" t="s">
        <v>1578</v>
      </c>
      <c r="D621" cm="1">
        <f t="array" ref="D621">_xlfn.SWITCH(C621, "JAN", 1, "FEB", 2, "MAR", 3, "APR", 4,"MAY", 5, "JUN",6, "JUL", 7, "AUG", 8, "SEP", 9, "OCT", 10, "NOV", 11, "DEC", 12, "NO")</f>
        <v>11</v>
      </c>
      <c r="E621">
        <v>2025</v>
      </c>
      <c r="F621" t="s">
        <v>1657</v>
      </c>
      <c r="G621">
        <f t="shared" si="29"/>
        <v>17</v>
      </c>
      <c r="H621">
        <v>14</v>
      </c>
      <c r="I621" t="s">
        <v>84</v>
      </c>
      <c r="J621">
        <v>19</v>
      </c>
      <c r="K621" t="s">
        <v>1658</v>
      </c>
      <c r="L621" t="s">
        <v>1659</v>
      </c>
      <c r="M621" t="str">
        <f t="shared" si="28"/>
        <v>Thursday</v>
      </c>
    </row>
    <row r="622" spans="1:13" x14ac:dyDescent="0.3">
      <c r="A622" s="4">
        <f t="shared" si="27"/>
        <v>45964</v>
      </c>
      <c r="B622">
        <v>3</v>
      </c>
      <c r="C622" t="s">
        <v>1578</v>
      </c>
      <c r="D622" cm="1">
        <f t="array" ref="D622">_xlfn.SWITCH(C622, "JAN", 1, "FEB", 2, "MAR", 3, "APR", 4,"MAY", 5, "JUN",6, "JUL", 7, "AUG", 8, "SEP", 9, "OCT", 10, "NOV", 11, "DEC", 12, "NO")</f>
        <v>11</v>
      </c>
      <c r="E622">
        <v>2025</v>
      </c>
      <c r="F622" t="s">
        <v>725</v>
      </c>
      <c r="G622">
        <f t="shared" si="29"/>
        <v>18</v>
      </c>
      <c r="H622">
        <v>9</v>
      </c>
      <c r="I622" t="s">
        <v>12</v>
      </c>
      <c r="J622">
        <v>500</v>
      </c>
      <c r="K622" t="s">
        <v>1660</v>
      </c>
      <c r="L622" t="s">
        <v>1661</v>
      </c>
      <c r="M622" t="str">
        <f t="shared" si="28"/>
        <v>Monday</v>
      </c>
    </row>
    <row r="623" spans="1:13" x14ac:dyDescent="0.3">
      <c r="A623" s="4">
        <f t="shared" si="27"/>
        <v>45964</v>
      </c>
      <c r="B623">
        <v>3</v>
      </c>
      <c r="C623" t="s">
        <v>1578</v>
      </c>
      <c r="D623" cm="1">
        <f t="array" ref="D623">_xlfn.SWITCH(C623, "JAN", 1, "FEB", 2, "MAR", 3, "APR", 4,"MAY", 5, "JUN",6, "JUL", 7, "AUG", 8, "SEP", 9, "OCT", 10, "NOV", 11, "DEC", 12, "NO")</f>
        <v>11</v>
      </c>
      <c r="E623">
        <v>2025</v>
      </c>
      <c r="F623" t="s">
        <v>1662</v>
      </c>
      <c r="G623">
        <f t="shared" si="29"/>
        <v>8</v>
      </c>
      <c r="H623">
        <v>3</v>
      </c>
      <c r="I623" t="s">
        <v>84</v>
      </c>
      <c r="J623">
        <v>500</v>
      </c>
      <c r="K623" t="s">
        <v>1663</v>
      </c>
      <c r="L623" t="s">
        <v>1664</v>
      </c>
      <c r="M623" t="str">
        <f t="shared" si="28"/>
        <v>Monday</v>
      </c>
    </row>
    <row r="624" spans="1:13" x14ac:dyDescent="0.3">
      <c r="A624" s="4">
        <f t="shared" si="27"/>
        <v>45961</v>
      </c>
      <c r="B624">
        <v>31</v>
      </c>
      <c r="C624" t="s">
        <v>1665</v>
      </c>
      <c r="D624" cm="1">
        <f t="array" ref="D624">_xlfn.SWITCH(C624, "JAN", 1, "FEB", 2, "MAR", 3, "APR", 4,"MAY", 5, "JUN",6, "JUL", 7, "AUG", 8, "SEP", 9, "OCT", 10, "NOV", 11, "DEC", 12, "NO")</f>
        <v>10</v>
      </c>
      <c r="E624">
        <v>2025</v>
      </c>
      <c r="F624" t="s">
        <v>1666</v>
      </c>
      <c r="G624">
        <f t="shared" si="29"/>
        <v>21</v>
      </c>
      <c r="H624">
        <v>49</v>
      </c>
      <c r="I624" t="s">
        <v>84</v>
      </c>
      <c r="J624">
        <v>25000</v>
      </c>
      <c r="K624" t="s">
        <v>1667</v>
      </c>
      <c r="L624" t="s">
        <v>1668</v>
      </c>
      <c r="M624" t="str">
        <f t="shared" si="28"/>
        <v>Friday</v>
      </c>
    </row>
    <row r="625" spans="1:13" x14ac:dyDescent="0.3">
      <c r="A625" s="4">
        <f t="shared" si="27"/>
        <v>45961</v>
      </c>
      <c r="B625">
        <v>31</v>
      </c>
      <c r="C625" t="s">
        <v>1665</v>
      </c>
      <c r="D625" cm="1">
        <f t="array" ref="D625">_xlfn.SWITCH(C625, "JAN", 1, "FEB", 2, "MAR", 3, "APR", 4,"MAY", 5, "JUN",6, "JUL", 7, "AUG", 8, "SEP", 9, "OCT", 10, "NOV", 11, "DEC", 12, "NO")</f>
        <v>10</v>
      </c>
      <c r="E625">
        <v>2025</v>
      </c>
      <c r="F625" t="s">
        <v>1404</v>
      </c>
      <c r="G625">
        <f t="shared" si="29"/>
        <v>19</v>
      </c>
      <c r="H625">
        <v>6</v>
      </c>
      <c r="I625" t="s">
        <v>12</v>
      </c>
      <c r="J625">
        <v>2000</v>
      </c>
      <c r="K625" t="s">
        <v>1669</v>
      </c>
      <c r="L625" t="s">
        <v>1670</v>
      </c>
      <c r="M625" t="str">
        <f t="shared" si="28"/>
        <v>Friday</v>
      </c>
    </row>
    <row r="626" spans="1:13" x14ac:dyDescent="0.3">
      <c r="A626" s="4">
        <f t="shared" si="27"/>
        <v>45961</v>
      </c>
      <c r="B626">
        <v>31</v>
      </c>
      <c r="C626" t="s">
        <v>1665</v>
      </c>
      <c r="D626" cm="1">
        <f t="array" ref="D626">_xlfn.SWITCH(C626, "JAN", 1, "FEB", 2, "MAR", 3, "APR", 4,"MAY", 5, "JUN",6, "JUL", 7, "AUG", 8, "SEP", 9, "OCT", 10, "NOV", 11, "DEC", 12, "NO")</f>
        <v>10</v>
      </c>
      <c r="E626">
        <v>2025</v>
      </c>
      <c r="F626" t="s">
        <v>790</v>
      </c>
      <c r="G626">
        <f t="shared" si="29"/>
        <v>18</v>
      </c>
      <c r="H626">
        <v>15</v>
      </c>
      <c r="I626" t="s">
        <v>12</v>
      </c>
      <c r="J626">
        <v>20750</v>
      </c>
      <c r="K626" t="s">
        <v>1671</v>
      </c>
      <c r="L626" t="s">
        <v>1672</v>
      </c>
      <c r="M626" t="str">
        <f t="shared" si="28"/>
        <v>Friday</v>
      </c>
    </row>
    <row r="627" spans="1:13" x14ac:dyDescent="0.3">
      <c r="A627" s="4">
        <f t="shared" si="27"/>
        <v>45961</v>
      </c>
      <c r="B627">
        <v>31</v>
      </c>
      <c r="C627" t="s">
        <v>1665</v>
      </c>
      <c r="D627" cm="1">
        <f t="array" ref="D627">_xlfn.SWITCH(C627, "JAN", 1, "FEB", 2, "MAR", 3, "APR", 4,"MAY", 5, "JUN",6, "JUL", 7, "AUG", 8, "SEP", 9, "OCT", 10, "NOV", 11, "DEC", 12, "NO")</f>
        <v>10</v>
      </c>
      <c r="E627">
        <v>2025</v>
      </c>
      <c r="F627" t="s">
        <v>315</v>
      </c>
      <c r="G627">
        <f t="shared" si="29"/>
        <v>18</v>
      </c>
      <c r="H627">
        <v>10</v>
      </c>
      <c r="I627" t="s">
        <v>12</v>
      </c>
      <c r="J627">
        <v>1150</v>
      </c>
      <c r="K627" t="s">
        <v>1673</v>
      </c>
      <c r="L627" t="s">
        <v>1674</v>
      </c>
      <c r="M627" t="str">
        <f t="shared" si="28"/>
        <v>Friday</v>
      </c>
    </row>
    <row r="628" spans="1:13" x14ac:dyDescent="0.3">
      <c r="A628" s="4">
        <f t="shared" si="27"/>
        <v>45961</v>
      </c>
      <c r="B628">
        <v>31</v>
      </c>
      <c r="C628" t="s">
        <v>1665</v>
      </c>
      <c r="D628" cm="1">
        <f t="array" ref="D628">_xlfn.SWITCH(C628, "JAN", 1, "FEB", 2, "MAR", 3, "APR", 4,"MAY", 5, "JUN",6, "JUL", 7, "AUG", 8, "SEP", 9, "OCT", 10, "NOV", 11, "DEC", 12, "NO")</f>
        <v>10</v>
      </c>
      <c r="E628">
        <v>2025</v>
      </c>
      <c r="F628" t="s">
        <v>1484</v>
      </c>
      <c r="G628">
        <f t="shared" si="29"/>
        <v>17</v>
      </c>
      <c r="H628">
        <v>58</v>
      </c>
      <c r="I628" t="s">
        <v>12</v>
      </c>
      <c r="J628">
        <v>1100</v>
      </c>
      <c r="K628" t="s">
        <v>1675</v>
      </c>
      <c r="L628" t="s">
        <v>1676</v>
      </c>
      <c r="M628" t="str">
        <f t="shared" si="28"/>
        <v>Friday</v>
      </c>
    </row>
    <row r="629" spans="1:13" x14ac:dyDescent="0.3">
      <c r="A629" s="4">
        <f t="shared" si="27"/>
        <v>45959</v>
      </c>
      <c r="B629">
        <v>29</v>
      </c>
      <c r="C629" t="s">
        <v>1665</v>
      </c>
      <c r="D629" cm="1">
        <f t="array" ref="D629">_xlfn.SWITCH(C629, "JAN", 1, "FEB", 2, "MAR", 3, "APR", 4,"MAY", 5, "JUN",6, "JUL", 7, "AUG", 8, "SEP", 9, "OCT", 10, "NOV", 11, "DEC", 12, "NO")</f>
        <v>10</v>
      </c>
      <c r="E629">
        <v>2025</v>
      </c>
      <c r="F629" t="s">
        <v>1677</v>
      </c>
      <c r="G629">
        <f t="shared" si="29"/>
        <v>18</v>
      </c>
      <c r="H629">
        <v>16</v>
      </c>
      <c r="I629" t="s">
        <v>84</v>
      </c>
      <c r="J629">
        <v>19</v>
      </c>
      <c r="K629" t="s">
        <v>1678</v>
      </c>
      <c r="L629" t="s">
        <v>1679</v>
      </c>
      <c r="M629" t="str">
        <f t="shared" si="28"/>
        <v>Wednesday</v>
      </c>
    </row>
    <row r="630" spans="1:13" x14ac:dyDescent="0.3">
      <c r="A630" s="4">
        <f t="shared" si="27"/>
        <v>45956</v>
      </c>
      <c r="B630">
        <v>26</v>
      </c>
      <c r="C630" t="s">
        <v>1665</v>
      </c>
      <c r="D630" cm="1">
        <f t="array" ref="D630">_xlfn.SWITCH(C630, "JAN", 1, "FEB", 2, "MAR", 3, "APR", 4,"MAY", 5, "JUN",6, "JUL", 7, "AUG", 8, "SEP", 9, "OCT", 10, "NOV", 11, "DEC", 12, "NO")</f>
        <v>10</v>
      </c>
      <c r="E630">
        <v>2025</v>
      </c>
      <c r="F630" t="s">
        <v>306</v>
      </c>
      <c r="G630">
        <f t="shared" si="29"/>
        <v>19</v>
      </c>
      <c r="H630">
        <v>12</v>
      </c>
      <c r="I630" t="s">
        <v>12</v>
      </c>
      <c r="J630">
        <v>300</v>
      </c>
      <c r="K630" t="s">
        <v>1680</v>
      </c>
      <c r="L630" t="s">
        <v>1681</v>
      </c>
      <c r="M630" t="str">
        <f t="shared" si="28"/>
        <v>Sunday</v>
      </c>
    </row>
    <row r="631" spans="1:13" x14ac:dyDescent="0.3">
      <c r="A631" s="4">
        <f t="shared" si="27"/>
        <v>45955</v>
      </c>
      <c r="B631">
        <v>25</v>
      </c>
      <c r="C631" t="s">
        <v>1665</v>
      </c>
      <c r="D631" cm="1">
        <f t="array" ref="D631">_xlfn.SWITCH(C631, "JAN", 1, "FEB", 2, "MAR", 3, "APR", 4,"MAY", 5, "JUN",6, "JUL", 7, "AUG", 8, "SEP", 9, "OCT", 10, "NOV", 11, "DEC", 12, "NO")</f>
        <v>10</v>
      </c>
      <c r="E631">
        <v>2025</v>
      </c>
      <c r="F631" t="s">
        <v>1682</v>
      </c>
      <c r="G631">
        <f t="shared" si="29"/>
        <v>12</v>
      </c>
      <c r="H631">
        <v>58</v>
      </c>
      <c r="I631" t="s">
        <v>84</v>
      </c>
      <c r="J631">
        <v>800</v>
      </c>
      <c r="K631" t="s">
        <v>1683</v>
      </c>
      <c r="L631" t="s">
        <v>1684</v>
      </c>
      <c r="M631" t="str">
        <f t="shared" si="28"/>
        <v>Saturday</v>
      </c>
    </row>
    <row r="632" spans="1:13" x14ac:dyDescent="0.3">
      <c r="A632" s="4">
        <f t="shared" si="27"/>
        <v>45954</v>
      </c>
      <c r="B632">
        <v>24</v>
      </c>
      <c r="C632" t="s">
        <v>1665</v>
      </c>
      <c r="D632" cm="1">
        <f t="array" ref="D632">_xlfn.SWITCH(C632, "JAN", 1, "FEB", 2, "MAR", 3, "APR", 4,"MAY", 5, "JUN",6, "JUL", 7, "AUG", 8, "SEP", 9, "OCT", 10, "NOV", 11, "DEC", 12, "NO")</f>
        <v>10</v>
      </c>
      <c r="E632">
        <v>2025</v>
      </c>
      <c r="F632" t="s">
        <v>1685</v>
      </c>
      <c r="G632">
        <f t="shared" si="29"/>
        <v>14</v>
      </c>
      <c r="H632">
        <v>1</v>
      </c>
      <c r="I632" t="s">
        <v>84</v>
      </c>
      <c r="J632">
        <v>300</v>
      </c>
      <c r="K632" t="s">
        <v>1686</v>
      </c>
      <c r="L632" t="s">
        <v>1687</v>
      </c>
      <c r="M632" t="str">
        <f t="shared" si="28"/>
        <v>Friday</v>
      </c>
    </row>
    <row r="633" spans="1:13" x14ac:dyDescent="0.3">
      <c r="A633" s="4">
        <f t="shared" si="27"/>
        <v>45952</v>
      </c>
      <c r="B633">
        <v>22</v>
      </c>
      <c r="C633" t="s">
        <v>1665</v>
      </c>
      <c r="D633" cm="1">
        <f t="array" ref="D633">_xlfn.SWITCH(C633, "JAN", 1, "FEB", 2, "MAR", 3, "APR", 4,"MAY", 5, "JUN",6, "JUL", 7, "AUG", 8, "SEP", 9, "OCT", 10, "NOV", 11, "DEC", 12, "NO")</f>
        <v>10</v>
      </c>
      <c r="E633">
        <v>2025</v>
      </c>
      <c r="F633" t="s">
        <v>1688</v>
      </c>
      <c r="G633">
        <f t="shared" si="29"/>
        <v>9</v>
      </c>
      <c r="H633">
        <v>13</v>
      </c>
      <c r="I633" t="s">
        <v>84</v>
      </c>
      <c r="J633">
        <v>4000</v>
      </c>
      <c r="K633" t="s">
        <v>1689</v>
      </c>
      <c r="L633" t="s">
        <v>1690</v>
      </c>
      <c r="M633" t="str">
        <f t="shared" si="28"/>
        <v>Wednesday</v>
      </c>
    </row>
    <row r="634" spans="1:13" x14ac:dyDescent="0.3">
      <c r="A634" s="4">
        <f t="shared" si="27"/>
        <v>45952</v>
      </c>
      <c r="B634">
        <v>22</v>
      </c>
      <c r="C634" t="s">
        <v>1665</v>
      </c>
      <c r="D634" cm="1">
        <f t="array" ref="D634">_xlfn.SWITCH(C634, "JAN", 1, "FEB", 2, "MAR", 3, "APR", 4,"MAY", 5, "JUN",6, "JUL", 7, "AUG", 8, "SEP", 9, "OCT", 10, "NOV", 11, "DEC", 12, "NO")</f>
        <v>10</v>
      </c>
      <c r="E634">
        <v>2025</v>
      </c>
      <c r="F634" t="s">
        <v>1691</v>
      </c>
      <c r="G634">
        <f t="shared" si="29"/>
        <v>8</v>
      </c>
      <c r="H634">
        <v>12</v>
      </c>
      <c r="I634" t="s">
        <v>84</v>
      </c>
      <c r="J634">
        <v>100</v>
      </c>
      <c r="K634" t="s">
        <v>1692</v>
      </c>
      <c r="L634" t="s">
        <v>1693</v>
      </c>
      <c r="M634" t="str">
        <f t="shared" si="28"/>
        <v>Wednesday</v>
      </c>
    </row>
    <row r="635" spans="1:13" x14ac:dyDescent="0.3">
      <c r="A635" s="4">
        <f t="shared" si="27"/>
        <v>45951</v>
      </c>
      <c r="B635">
        <v>21</v>
      </c>
      <c r="C635" t="s">
        <v>1665</v>
      </c>
      <c r="D635" cm="1">
        <f t="array" ref="D635">_xlfn.SWITCH(C635, "JAN", 1, "FEB", 2, "MAR", 3, "APR", 4,"MAY", 5, "JUN",6, "JUL", 7, "AUG", 8, "SEP", 9, "OCT", 10, "NOV", 11, "DEC", 12, "NO")</f>
        <v>10</v>
      </c>
      <c r="E635">
        <v>2025</v>
      </c>
      <c r="F635" t="s">
        <v>1374</v>
      </c>
      <c r="G635">
        <f t="shared" si="29"/>
        <v>20</v>
      </c>
      <c r="H635">
        <v>11</v>
      </c>
      <c r="I635" t="s">
        <v>84</v>
      </c>
      <c r="J635">
        <v>19</v>
      </c>
      <c r="K635" t="s">
        <v>1694</v>
      </c>
      <c r="L635" t="s">
        <v>1695</v>
      </c>
      <c r="M635" t="str">
        <f t="shared" si="28"/>
        <v>Tuesday</v>
      </c>
    </row>
    <row r="636" spans="1:13" x14ac:dyDescent="0.3">
      <c r="A636" s="4">
        <f t="shared" si="27"/>
        <v>45951</v>
      </c>
      <c r="B636">
        <v>21</v>
      </c>
      <c r="C636" t="s">
        <v>1665</v>
      </c>
      <c r="D636" cm="1">
        <f t="array" ref="D636">_xlfn.SWITCH(C636, "JAN", 1, "FEB", 2, "MAR", 3, "APR", 4,"MAY", 5, "JUN",6, "JUL", 7, "AUG", 8, "SEP", 9, "OCT", 10, "NOV", 11, "DEC", 12, "NO")</f>
        <v>10</v>
      </c>
      <c r="E636">
        <v>2025</v>
      </c>
      <c r="F636" t="s">
        <v>989</v>
      </c>
      <c r="G636">
        <f t="shared" si="29"/>
        <v>17</v>
      </c>
      <c r="H636">
        <v>18</v>
      </c>
      <c r="I636" t="s">
        <v>12</v>
      </c>
      <c r="J636">
        <v>120</v>
      </c>
      <c r="K636" t="s">
        <v>1696</v>
      </c>
      <c r="L636" t="s">
        <v>1697</v>
      </c>
      <c r="M636" t="str">
        <f t="shared" si="28"/>
        <v>Tuesday</v>
      </c>
    </row>
    <row r="637" spans="1:13" x14ac:dyDescent="0.3">
      <c r="A637" s="4">
        <f t="shared" si="27"/>
        <v>45951</v>
      </c>
      <c r="B637">
        <v>21</v>
      </c>
      <c r="C637" t="s">
        <v>1665</v>
      </c>
      <c r="D637" cm="1">
        <f t="array" ref="D637">_xlfn.SWITCH(C637, "JAN", 1, "FEB", 2, "MAR", 3, "APR", 4,"MAY", 5, "JUN",6, "JUL", 7, "AUG", 8, "SEP", 9, "OCT", 10, "NOV", 11, "DEC", 12, "NO")</f>
        <v>10</v>
      </c>
      <c r="E637">
        <v>2025</v>
      </c>
      <c r="F637" t="s">
        <v>966</v>
      </c>
      <c r="G637">
        <f t="shared" si="29"/>
        <v>14</v>
      </c>
      <c r="H637">
        <v>24</v>
      </c>
      <c r="I637" t="s">
        <v>84</v>
      </c>
      <c r="J637">
        <v>20</v>
      </c>
      <c r="K637" t="s">
        <v>1698</v>
      </c>
      <c r="L637" t="s">
        <v>1699</v>
      </c>
      <c r="M637" t="str">
        <f t="shared" si="28"/>
        <v>Tuesday</v>
      </c>
    </row>
    <row r="638" spans="1:13" x14ac:dyDescent="0.3">
      <c r="A638" s="4">
        <f t="shared" si="27"/>
        <v>45951</v>
      </c>
      <c r="B638">
        <v>21</v>
      </c>
      <c r="C638" t="s">
        <v>1665</v>
      </c>
      <c r="D638" cm="1">
        <f t="array" ref="D638">_xlfn.SWITCH(C638, "JAN", 1, "FEB", 2, "MAR", 3, "APR", 4,"MAY", 5, "JUN",6, "JUL", 7, "AUG", 8, "SEP", 9, "OCT", 10, "NOV", 11, "DEC", 12, "NO")</f>
        <v>10</v>
      </c>
      <c r="E638">
        <v>2025</v>
      </c>
      <c r="F638" t="s">
        <v>1700</v>
      </c>
      <c r="G638">
        <f t="shared" si="29"/>
        <v>14</v>
      </c>
      <c r="H638">
        <v>8</v>
      </c>
      <c r="I638" t="s">
        <v>84</v>
      </c>
      <c r="J638">
        <v>100</v>
      </c>
      <c r="K638" t="s">
        <v>1701</v>
      </c>
      <c r="L638" t="s">
        <v>1702</v>
      </c>
      <c r="M638" t="str">
        <f t="shared" si="28"/>
        <v>Tuesday</v>
      </c>
    </row>
    <row r="639" spans="1:13" x14ac:dyDescent="0.3">
      <c r="A639" s="4">
        <f t="shared" si="27"/>
        <v>45951</v>
      </c>
      <c r="B639">
        <v>21</v>
      </c>
      <c r="C639" t="s">
        <v>1665</v>
      </c>
      <c r="D639" cm="1">
        <f t="array" ref="D639">_xlfn.SWITCH(C639, "JAN", 1, "FEB", 2, "MAR", 3, "APR", 4,"MAY", 5, "JUN",6, "JUL", 7, "AUG", 8, "SEP", 9, "OCT", 10, "NOV", 11, "DEC", 12, "NO")</f>
        <v>10</v>
      </c>
      <c r="E639">
        <v>2025</v>
      </c>
      <c r="F639" t="s">
        <v>1703</v>
      </c>
      <c r="G639">
        <f t="shared" si="29"/>
        <v>10</v>
      </c>
      <c r="H639">
        <v>19</v>
      </c>
      <c r="I639" t="s">
        <v>84</v>
      </c>
      <c r="J639">
        <v>80</v>
      </c>
      <c r="K639" t="s">
        <v>1704</v>
      </c>
      <c r="L639" t="s">
        <v>1705</v>
      </c>
      <c r="M639" t="str">
        <f t="shared" si="28"/>
        <v>Tuesday</v>
      </c>
    </row>
    <row r="640" spans="1:13" x14ac:dyDescent="0.3">
      <c r="A640" s="4">
        <f t="shared" si="27"/>
        <v>45950</v>
      </c>
      <c r="B640">
        <v>20</v>
      </c>
      <c r="C640" t="s">
        <v>1665</v>
      </c>
      <c r="D640" cm="1">
        <f t="array" ref="D640">_xlfn.SWITCH(C640, "JAN", 1, "FEB", 2, "MAR", 3, "APR", 4,"MAY", 5, "JUN",6, "JUL", 7, "AUG", 8, "SEP", 9, "OCT", 10, "NOV", 11, "DEC", 12, "NO")</f>
        <v>10</v>
      </c>
      <c r="E640">
        <v>2025</v>
      </c>
      <c r="F640" t="s">
        <v>1706</v>
      </c>
      <c r="G640">
        <f t="shared" si="29"/>
        <v>7</v>
      </c>
      <c r="H640">
        <v>1</v>
      </c>
      <c r="I640" t="s">
        <v>84</v>
      </c>
      <c r="J640">
        <v>50</v>
      </c>
      <c r="K640" t="s">
        <v>1707</v>
      </c>
      <c r="L640" t="s">
        <v>1708</v>
      </c>
      <c r="M640" t="str">
        <f t="shared" si="28"/>
        <v>Monday</v>
      </c>
    </row>
    <row r="641" spans="1:13" x14ac:dyDescent="0.3">
      <c r="A641" s="4">
        <f t="shared" si="27"/>
        <v>45949</v>
      </c>
      <c r="B641">
        <v>19</v>
      </c>
      <c r="C641" t="s">
        <v>1665</v>
      </c>
      <c r="D641" cm="1">
        <f t="array" ref="D641">_xlfn.SWITCH(C641, "JAN", 1, "FEB", 2, "MAR", 3, "APR", 4,"MAY", 5, "JUN",6, "JUL", 7, "AUG", 8, "SEP", 9, "OCT", 10, "NOV", 11, "DEC", 12, "NO")</f>
        <v>10</v>
      </c>
      <c r="E641">
        <v>2025</v>
      </c>
      <c r="F641" t="s">
        <v>367</v>
      </c>
      <c r="G641">
        <f t="shared" si="29"/>
        <v>13</v>
      </c>
      <c r="H641">
        <v>57</v>
      </c>
      <c r="I641" t="s">
        <v>12</v>
      </c>
      <c r="J641">
        <v>4000</v>
      </c>
      <c r="K641" t="s">
        <v>1709</v>
      </c>
      <c r="L641" t="s">
        <v>1710</v>
      </c>
      <c r="M641" t="str">
        <f t="shared" si="28"/>
        <v>Sunday</v>
      </c>
    </row>
    <row r="642" spans="1:13" x14ac:dyDescent="0.3">
      <c r="A642" s="4">
        <f t="shared" ref="A642:A705" si="30">DATE(E642, D642, B642)</f>
        <v>45943</v>
      </c>
      <c r="B642">
        <v>13</v>
      </c>
      <c r="C642" t="s">
        <v>1665</v>
      </c>
      <c r="D642" cm="1">
        <f t="array" ref="D642">_xlfn.SWITCH(C642, "JAN", 1, "FEB", 2, "MAR", 3, "APR", 4,"MAY", 5, "JUN",6, "JUL", 7, "AUG", 8, "SEP", 9, "OCT", 10, "NOV", 11, "DEC", 12, "NO")</f>
        <v>10</v>
      </c>
      <c r="E642">
        <v>2025</v>
      </c>
      <c r="F642" t="s">
        <v>1711</v>
      </c>
      <c r="G642">
        <f t="shared" si="29"/>
        <v>19</v>
      </c>
      <c r="H642">
        <v>32</v>
      </c>
      <c r="I642" t="s">
        <v>84</v>
      </c>
      <c r="J642">
        <v>20</v>
      </c>
      <c r="K642" t="s">
        <v>1712</v>
      </c>
      <c r="L642" t="s">
        <v>1713</v>
      </c>
      <c r="M642" t="str">
        <f t="shared" ref="M642:M706" si="31">TEXT(A642, "DDDD")</f>
        <v>Monday</v>
      </c>
    </row>
    <row r="643" spans="1:13" x14ac:dyDescent="0.3">
      <c r="A643" s="4">
        <f t="shared" si="30"/>
        <v>45941</v>
      </c>
      <c r="B643">
        <v>11</v>
      </c>
      <c r="C643" t="s">
        <v>1665</v>
      </c>
      <c r="D643" cm="1">
        <f t="array" ref="D643">_xlfn.SWITCH(C643, "JAN", 1, "FEB", 2, "MAR", 3, "APR", 4,"MAY", 5, "JUN",6, "JUL", 7, "AUG", 8, "SEP", 9, "OCT", 10, "NOV", 11, "DEC", 12, "NO")</f>
        <v>10</v>
      </c>
      <c r="E643">
        <v>2025</v>
      </c>
      <c r="F643" t="s">
        <v>658</v>
      </c>
      <c r="G643">
        <f t="shared" ref="G643:G706" si="32">HOUR(F643)</f>
        <v>18</v>
      </c>
      <c r="H643">
        <v>49</v>
      </c>
      <c r="I643" t="s">
        <v>12</v>
      </c>
      <c r="J643">
        <v>300</v>
      </c>
      <c r="K643" t="s">
        <v>1714</v>
      </c>
      <c r="L643" t="s">
        <v>1715</v>
      </c>
      <c r="M643" t="str">
        <f t="shared" si="31"/>
        <v>Saturday</v>
      </c>
    </row>
    <row r="644" spans="1:13" x14ac:dyDescent="0.3">
      <c r="A644" s="4">
        <f t="shared" si="30"/>
        <v>45941</v>
      </c>
      <c r="B644">
        <v>11</v>
      </c>
      <c r="C644" t="s">
        <v>1665</v>
      </c>
      <c r="D644" cm="1">
        <f t="array" ref="D644">_xlfn.SWITCH(C644, "JAN", 1, "FEB", 2, "MAR", 3, "APR", 4,"MAY", 5, "JUN",6, "JUL", 7, "AUG", 8, "SEP", 9, "OCT", 10, "NOV", 11, "DEC", 12, "NO")</f>
        <v>10</v>
      </c>
      <c r="E644">
        <v>2025</v>
      </c>
      <c r="F644" t="s">
        <v>626</v>
      </c>
      <c r="G644">
        <f t="shared" si="32"/>
        <v>18</v>
      </c>
      <c r="H644">
        <v>48</v>
      </c>
      <c r="I644" t="s">
        <v>84</v>
      </c>
      <c r="J644">
        <v>302</v>
      </c>
      <c r="K644" t="s">
        <v>1716</v>
      </c>
      <c r="L644" t="s">
        <v>1717</v>
      </c>
      <c r="M644" t="str">
        <f t="shared" si="31"/>
        <v>Saturday</v>
      </c>
    </row>
    <row r="645" spans="1:13" x14ac:dyDescent="0.3">
      <c r="A645" s="4">
        <f t="shared" si="30"/>
        <v>45939</v>
      </c>
      <c r="B645">
        <v>9</v>
      </c>
      <c r="C645" t="s">
        <v>1665</v>
      </c>
      <c r="D645" cm="1">
        <f t="array" ref="D645">_xlfn.SWITCH(C645, "JAN", 1, "FEB", 2, "MAR", 3, "APR", 4,"MAY", 5, "JUN",6, "JUL", 7, "AUG", 8, "SEP", 9, "OCT", 10, "NOV", 11, "DEC", 12, "NO")</f>
        <v>10</v>
      </c>
      <c r="E645">
        <v>2025</v>
      </c>
      <c r="F645" t="s">
        <v>765</v>
      </c>
      <c r="G645">
        <f t="shared" si="32"/>
        <v>14</v>
      </c>
      <c r="H645">
        <v>48</v>
      </c>
      <c r="I645" t="s">
        <v>84</v>
      </c>
      <c r="J645">
        <v>60</v>
      </c>
      <c r="K645" t="s">
        <v>1718</v>
      </c>
      <c r="L645" t="s">
        <v>1719</v>
      </c>
      <c r="M645" t="str">
        <f t="shared" si="31"/>
        <v>Thursday</v>
      </c>
    </row>
    <row r="646" spans="1:13" x14ac:dyDescent="0.3">
      <c r="A646" s="4">
        <f t="shared" si="30"/>
        <v>45939</v>
      </c>
      <c r="B646">
        <v>9</v>
      </c>
      <c r="C646" t="s">
        <v>1665</v>
      </c>
      <c r="D646" cm="1">
        <f t="array" ref="D646">_xlfn.SWITCH(C646, "JAN", 1, "FEB", 2, "MAR", 3, "APR", 4,"MAY", 5, "JUN",6, "JUL", 7, "AUG", 8, "SEP", 9, "OCT", 10, "NOV", 11, "DEC", 12, "NO")</f>
        <v>10</v>
      </c>
      <c r="E646">
        <v>2025</v>
      </c>
      <c r="F646" t="s">
        <v>1542</v>
      </c>
      <c r="G646">
        <f t="shared" si="32"/>
        <v>14</v>
      </c>
      <c r="H646">
        <v>34</v>
      </c>
      <c r="I646" t="s">
        <v>84</v>
      </c>
      <c r="J646">
        <v>480</v>
      </c>
      <c r="K646" t="s">
        <v>1720</v>
      </c>
      <c r="L646" t="s">
        <v>1721</v>
      </c>
      <c r="M646" t="str">
        <f t="shared" si="31"/>
        <v>Thursday</v>
      </c>
    </row>
    <row r="647" spans="1:13" x14ac:dyDescent="0.3">
      <c r="A647" s="4">
        <f t="shared" si="30"/>
        <v>45936</v>
      </c>
      <c r="B647">
        <v>6</v>
      </c>
      <c r="C647" t="s">
        <v>1665</v>
      </c>
      <c r="D647" cm="1">
        <f t="array" ref="D647">_xlfn.SWITCH(C647, "JAN", 1, "FEB", 2, "MAR", 3, "APR", 4,"MAY", 5, "JUN",6, "JUL", 7, "AUG", 8, "SEP", 9, "OCT", 10, "NOV", 11, "DEC", 12, "NO")</f>
        <v>10</v>
      </c>
      <c r="E647">
        <v>2025</v>
      </c>
      <c r="F647" t="s">
        <v>811</v>
      </c>
      <c r="G647">
        <f t="shared" si="32"/>
        <v>20</v>
      </c>
      <c r="H647">
        <v>20</v>
      </c>
      <c r="I647" t="s">
        <v>12</v>
      </c>
      <c r="J647">
        <v>500</v>
      </c>
      <c r="K647" t="s">
        <v>1722</v>
      </c>
      <c r="L647" t="s">
        <v>1723</v>
      </c>
      <c r="M647" t="str">
        <f t="shared" si="31"/>
        <v>Monday</v>
      </c>
    </row>
    <row r="648" spans="1:13" x14ac:dyDescent="0.3">
      <c r="A648" s="4">
        <f t="shared" si="30"/>
        <v>45936</v>
      </c>
      <c r="B648">
        <v>6</v>
      </c>
      <c r="C648" t="s">
        <v>1665</v>
      </c>
      <c r="D648" cm="1">
        <f t="array" ref="D648">_xlfn.SWITCH(C648, "JAN", 1, "FEB", 2, "MAR", 3, "APR", 4,"MAY", 5, "JUN",6, "JUL", 7, "AUG", 8, "SEP", 9, "OCT", 10, "NOV", 11, "DEC", 12, "NO")</f>
        <v>10</v>
      </c>
      <c r="E648">
        <v>2025</v>
      </c>
      <c r="F648" t="s">
        <v>1221</v>
      </c>
      <c r="G648">
        <f t="shared" si="32"/>
        <v>19</v>
      </c>
      <c r="H648">
        <v>31</v>
      </c>
      <c r="I648" t="s">
        <v>12</v>
      </c>
      <c r="J648">
        <v>80</v>
      </c>
      <c r="K648" t="s">
        <v>1724</v>
      </c>
      <c r="L648" t="s">
        <v>1725</v>
      </c>
      <c r="M648" t="str">
        <f t="shared" si="31"/>
        <v>Monday</v>
      </c>
    </row>
    <row r="649" spans="1:13" x14ac:dyDescent="0.3">
      <c r="A649" s="4">
        <f t="shared" si="30"/>
        <v>45936</v>
      </c>
      <c r="B649">
        <v>6</v>
      </c>
      <c r="C649" t="s">
        <v>1665</v>
      </c>
      <c r="D649" cm="1">
        <f t="array" ref="D649">_xlfn.SWITCH(C649, "JAN", 1, "FEB", 2, "MAR", 3, "APR", 4,"MAY", 5, "JUN",6, "JUL", 7, "AUG", 8, "SEP", 9, "OCT", 10, "NOV", 11, "DEC", 12, "NO")</f>
        <v>10</v>
      </c>
      <c r="E649">
        <v>2025</v>
      </c>
      <c r="F649" t="s">
        <v>1354</v>
      </c>
      <c r="G649">
        <f t="shared" si="32"/>
        <v>19</v>
      </c>
      <c r="H649">
        <v>18</v>
      </c>
      <c r="I649" t="s">
        <v>84</v>
      </c>
      <c r="J649">
        <v>180</v>
      </c>
      <c r="K649" t="s">
        <v>1726</v>
      </c>
      <c r="L649" t="s">
        <v>1727</v>
      </c>
      <c r="M649" t="str">
        <f t="shared" si="31"/>
        <v>Monday</v>
      </c>
    </row>
    <row r="650" spans="1:13" x14ac:dyDescent="0.3">
      <c r="A650" s="4">
        <f t="shared" si="30"/>
        <v>45936</v>
      </c>
      <c r="B650">
        <v>6</v>
      </c>
      <c r="C650" t="s">
        <v>1665</v>
      </c>
      <c r="D650" cm="1">
        <f t="array" ref="D650">_xlfn.SWITCH(C650, "JAN", 1, "FEB", 2, "MAR", 3, "APR", 4,"MAY", 5, "JUN",6, "JUL", 7, "AUG", 8, "SEP", 9, "OCT", 10, "NOV", 11, "DEC", 12, "NO")</f>
        <v>10</v>
      </c>
      <c r="E650">
        <v>2025</v>
      </c>
      <c r="F650" t="s">
        <v>626</v>
      </c>
      <c r="G650">
        <f t="shared" si="32"/>
        <v>18</v>
      </c>
      <c r="H650">
        <v>48</v>
      </c>
      <c r="I650" t="s">
        <v>84</v>
      </c>
      <c r="J650">
        <v>357</v>
      </c>
      <c r="K650" t="s">
        <v>1728</v>
      </c>
      <c r="L650" t="s">
        <v>1729</v>
      </c>
      <c r="M650" t="str">
        <f t="shared" si="31"/>
        <v>Monday</v>
      </c>
    </row>
    <row r="651" spans="1:13" x14ac:dyDescent="0.3">
      <c r="A651" s="4">
        <f t="shared" si="30"/>
        <v>45936</v>
      </c>
      <c r="B651">
        <v>6</v>
      </c>
      <c r="C651" t="s">
        <v>1665</v>
      </c>
      <c r="D651" cm="1">
        <f t="array" ref="D651">_xlfn.SWITCH(C651, "JAN", 1, "FEB", 2, "MAR", 3, "APR", 4,"MAY", 5, "JUN",6, "JUL", 7, "AUG", 8, "SEP", 9, "OCT", 10, "NOV", 11, "DEC", 12, "NO")</f>
        <v>10</v>
      </c>
      <c r="E651">
        <v>2025</v>
      </c>
      <c r="F651" t="s">
        <v>1730</v>
      </c>
      <c r="G651">
        <f t="shared" si="32"/>
        <v>18</v>
      </c>
      <c r="H651">
        <v>40</v>
      </c>
      <c r="I651" t="s">
        <v>84</v>
      </c>
      <c r="J651">
        <v>500</v>
      </c>
      <c r="K651" t="s">
        <v>1731</v>
      </c>
      <c r="L651" t="s">
        <v>1732</v>
      </c>
      <c r="M651" t="str">
        <f t="shared" si="31"/>
        <v>Monday</v>
      </c>
    </row>
    <row r="652" spans="1:13" x14ac:dyDescent="0.3">
      <c r="A652" s="4">
        <f t="shared" si="30"/>
        <v>45935</v>
      </c>
      <c r="B652">
        <v>5</v>
      </c>
      <c r="C652" t="s">
        <v>1665</v>
      </c>
      <c r="D652" cm="1">
        <f t="array" ref="D652">_xlfn.SWITCH(C652, "JAN", 1, "FEB", 2, "MAR", 3, "APR", 4,"MAY", 5, "JUN",6, "JUL", 7, "AUG", 8, "SEP", 9, "OCT", 10, "NOV", 11, "DEC", 12, "NO")</f>
        <v>10</v>
      </c>
      <c r="E652">
        <v>2025</v>
      </c>
      <c r="F652" t="s">
        <v>1733</v>
      </c>
      <c r="G652">
        <f t="shared" si="32"/>
        <v>16</v>
      </c>
      <c r="H652">
        <v>35</v>
      </c>
      <c r="I652" t="s">
        <v>12</v>
      </c>
      <c r="J652">
        <v>1000</v>
      </c>
      <c r="K652" t="s">
        <v>1734</v>
      </c>
      <c r="L652" t="s">
        <v>1735</v>
      </c>
      <c r="M652" t="str">
        <f t="shared" si="31"/>
        <v>Sunday</v>
      </c>
    </row>
    <row r="653" spans="1:13" x14ac:dyDescent="0.3">
      <c r="A653" s="4">
        <f t="shared" si="30"/>
        <v>45932</v>
      </c>
      <c r="B653">
        <v>2</v>
      </c>
      <c r="C653" t="s">
        <v>1665</v>
      </c>
      <c r="D653" cm="1">
        <f t="array" ref="D653">_xlfn.SWITCH(C653, "JAN", 1, "FEB", 2, "MAR", 3, "APR", 4,"MAY", 5, "JUN",6, "JUL", 7, "AUG", 8, "SEP", 9, "OCT", 10, "NOV", 11, "DEC", 12, "NO")</f>
        <v>10</v>
      </c>
      <c r="E653">
        <v>2025</v>
      </c>
      <c r="F653" t="s">
        <v>306</v>
      </c>
      <c r="G653">
        <f t="shared" si="32"/>
        <v>19</v>
      </c>
      <c r="H653">
        <v>12</v>
      </c>
      <c r="I653" t="s">
        <v>84</v>
      </c>
      <c r="J653">
        <v>1000</v>
      </c>
      <c r="K653" t="s">
        <v>1736</v>
      </c>
      <c r="L653" t="s">
        <v>1737</v>
      </c>
      <c r="M653" t="str">
        <f t="shared" si="31"/>
        <v>Thursday</v>
      </c>
    </row>
    <row r="654" spans="1:13" x14ac:dyDescent="0.3">
      <c r="A654" s="4">
        <f t="shared" si="30"/>
        <v>45930</v>
      </c>
      <c r="B654">
        <v>30</v>
      </c>
      <c r="C654" t="s">
        <v>1738</v>
      </c>
      <c r="D654" cm="1">
        <f t="array" ref="D654">_xlfn.SWITCH(C654, "JAN", 1, "FEB", 2, "MAR", 3, "APR", 4,"MAY", 5, "JUN",6, "JUL", 7, "AUG", 8, "SEP", 9, "OCT", 10, "NOV", 11, "DEC", 12, "NO")</f>
        <v>9</v>
      </c>
      <c r="E654">
        <v>2025</v>
      </c>
      <c r="F654" t="s">
        <v>1739</v>
      </c>
      <c r="G654">
        <f t="shared" si="32"/>
        <v>23</v>
      </c>
      <c r="H654">
        <v>8</v>
      </c>
      <c r="I654" t="s">
        <v>12</v>
      </c>
      <c r="J654">
        <v>3000</v>
      </c>
      <c r="K654" t="s">
        <v>1740</v>
      </c>
      <c r="L654" t="s">
        <v>1741</v>
      </c>
      <c r="M654" t="str">
        <f t="shared" si="31"/>
        <v>Tuesday</v>
      </c>
    </row>
    <row r="655" spans="1:13" x14ac:dyDescent="0.3">
      <c r="A655" s="4">
        <f t="shared" si="30"/>
        <v>45930</v>
      </c>
      <c r="B655">
        <v>30</v>
      </c>
      <c r="C655" t="s">
        <v>1738</v>
      </c>
      <c r="D655" cm="1">
        <f t="array" ref="D655">_xlfn.SWITCH(C655, "JAN", 1, "FEB", 2, "MAR", 3, "APR", 4,"MAY", 5, "JUN",6, "JUL", 7, "AUG", 8, "SEP", 9, "OCT", 10, "NOV", 11, "DEC", 12, "NO")</f>
        <v>9</v>
      </c>
      <c r="E655">
        <v>2025</v>
      </c>
      <c r="F655" t="s">
        <v>1654</v>
      </c>
      <c r="G655">
        <f t="shared" si="32"/>
        <v>18</v>
      </c>
      <c r="H655">
        <v>44</v>
      </c>
      <c r="I655" t="s">
        <v>12</v>
      </c>
      <c r="J655">
        <v>1000</v>
      </c>
      <c r="K655" t="s">
        <v>1742</v>
      </c>
      <c r="L655" t="s">
        <v>1743</v>
      </c>
      <c r="M655" t="str">
        <f t="shared" si="31"/>
        <v>Tuesday</v>
      </c>
    </row>
    <row r="656" spans="1:13" x14ac:dyDescent="0.3">
      <c r="A656" s="4">
        <f t="shared" si="30"/>
        <v>45928</v>
      </c>
      <c r="B656">
        <v>28</v>
      </c>
      <c r="C656" t="s">
        <v>1738</v>
      </c>
      <c r="D656" cm="1">
        <f t="array" ref="D656">_xlfn.SWITCH(C656, "JAN", 1, "FEB", 2, "MAR", 3, "APR", 4,"MAY", 5, "JUN",6, "JUL", 7, "AUG", 8, "SEP", 9, "OCT", 10, "NOV", 11, "DEC", 12, "NO")</f>
        <v>9</v>
      </c>
      <c r="E656">
        <v>2025</v>
      </c>
      <c r="F656" t="s">
        <v>1105</v>
      </c>
      <c r="G656">
        <f t="shared" si="32"/>
        <v>14</v>
      </c>
      <c r="H656">
        <v>35</v>
      </c>
      <c r="I656" t="s">
        <v>84</v>
      </c>
      <c r="J656">
        <v>9600</v>
      </c>
      <c r="K656" t="s">
        <v>1744</v>
      </c>
      <c r="L656" t="s">
        <v>1745</v>
      </c>
      <c r="M656" t="str">
        <f t="shared" si="31"/>
        <v>Sunday</v>
      </c>
    </row>
    <row r="657" spans="1:13" x14ac:dyDescent="0.3">
      <c r="A657" s="4">
        <f t="shared" si="30"/>
        <v>45928</v>
      </c>
      <c r="B657">
        <v>28</v>
      </c>
      <c r="C657" t="s">
        <v>1738</v>
      </c>
      <c r="D657" cm="1">
        <f t="array" ref="D657">_xlfn.SWITCH(C657, "JAN", 1, "FEB", 2, "MAR", 3, "APR", 4,"MAY", 5, "JUN",6, "JUL", 7, "AUG", 8, "SEP", 9, "OCT", 10, "NOV", 11, "DEC", 12, "NO")</f>
        <v>9</v>
      </c>
      <c r="E657">
        <v>2025</v>
      </c>
      <c r="F657" t="s">
        <v>598</v>
      </c>
      <c r="G657">
        <f t="shared" si="32"/>
        <v>14</v>
      </c>
      <c r="H657">
        <v>33</v>
      </c>
      <c r="I657" t="s">
        <v>12</v>
      </c>
      <c r="J657">
        <v>4600</v>
      </c>
      <c r="K657" t="s">
        <v>1746</v>
      </c>
      <c r="L657" t="s">
        <v>1747</v>
      </c>
      <c r="M657" t="str">
        <f t="shared" si="31"/>
        <v>Sunday</v>
      </c>
    </row>
    <row r="658" spans="1:13" x14ac:dyDescent="0.3">
      <c r="A658" s="4">
        <f t="shared" si="30"/>
        <v>45928</v>
      </c>
      <c r="B658">
        <v>28</v>
      </c>
      <c r="C658" t="s">
        <v>1738</v>
      </c>
      <c r="D658" cm="1">
        <f t="array" ref="D658">_xlfn.SWITCH(C658, "JAN", 1, "FEB", 2, "MAR", 3, "APR", 4,"MAY", 5, "JUN",6, "JUL", 7, "AUG", 8, "SEP", 9, "OCT", 10, "NOV", 11, "DEC", 12, "NO")</f>
        <v>9</v>
      </c>
      <c r="E658">
        <v>2025</v>
      </c>
      <c r="F658" t="s">
        <v>1748</v>
      </c>
      <c r="G658">
        <f t="shared" si="32"/>
        <v>6</v>
      </c>
      <c r="H658">
        <v>35</v>
      </c>
      <c r="I658" t="s">
        <v>12</v>
      </c>
      <c r="J658">
        <v>5000</v>
      </c>
      <c r="K658" t="s">
        <v>1749</v>
      </c>
      <c r="L658" t="s">
        <v>1750</v>
      </c>
      <c r="M658" t="str">
        <f t="shared" si="31"/>
        <v>Sunday</v>
      </c>
    </row>
    <row r="659" spans="1:13" x14ac:dyDescent="0.3">
      <c r="A659" s="4">
        <f t="shared" si="30"/>
        <v>45926</v>
      </c>
      <c r="B659">
        <v>26</v>
      </c>
      <c r="C659" t="s">
        <v>1738</v>
      </c>
      <c r="D659" cm="1">
        <f t="array" ref="D659">_xlfn.SWITCH(C659, "JAN", 1, "FEB", 2, "MAR", 3, "APR", 4,"MAY", 5, "JUN",6, "JUL", 7, "AUG", 8, "SEP", 9, "OCT", 10, "NOV", 11, "DEC", 12, "NO")</f>
        <v>9</v>
      </c>
      <c r="E659">
        <v>2025</v>
      </c>
      <c r="F659" t="s">
        <v>884</v>
      </c>
      <c r="G659">
        <f t="shared" si="32"/>
        <v>18</v>
      </c>
      <c r="H659">
        <v>55</v>
      </c>
      <c r="I659" t="s">
        <v>84</v>
      </c>
      <c r="J659">
        <v>100</v>
      </c>
      <c r="K659" t="s">
        <v>1751</v>
      </c>
      <c r="L659" t="s">
        <v>1752</v>
      </c>
      <c r="M659" t="str">
        <f t="shared" si="31"/>
        <v>Friday</v>
      </c>
    </row>
    <row r="660" spans="1:13" x14ac:dyDescent="0.3">
      <c r="A660" s="4">
        <f t="shared" si="30"/>
        <v>45925</v>
      </c>
      <c r="B660">
        <v>25</v>
      </c>
      <c r="C660" t="s">
        <v>1738</v>
      </c>
      <c r="D660" cm="1">
        <f t="array" ref="D660">_xlfn.SWITCH(C660, "JAN", 1, "FEB", 2, "MAR", 3, "APR", 4,"MAY", 5, "JUN",6, "JUL", 7, "AUG", 8, "SEP", 9, "OCT", 10, "NOV", 11, "DEC", 12, "NO")</f>
        <v>9</v>
      </c>
      <c r="E660">
        <v>2025</v>
      </c>
      <c r="F660" t="s">
        <v>1059</v>
      </c>
      <c r="G660">
        <f t="shared" si="32"/>
        <v>22</v>
      </c>
      <c r="H660">
        <v>31</v>
      </c>
      <c r="I660" t="s">
        <v>84</v>
      </c>
      <c r="J660">
        <v>1150</v>
      </c>
      <c r="K660" t="s">
        <v>1753</v>
      </c>
      <c r="L660" t="s">
        <v>1754</v>
      </c>
      <c r="M660" t="str">
        <f t="shared" si="31"/>
        <v>Thursday</v>
      </c>
    </row>
    <row r="661" spans="1:13" x14ac:dyDescent="0.3">
      <c r="A661" s="4">
        <f t="shared" si="30"/>
        <v>45925</v>
      </c>
      <c r="B661">
        <v>25</v>
      </c>
      <c r="C661" t="s">
        <v>1738</v>
      </c>
      <c r="D661" cm="1">
        <f t="array" ref="D661">_xlfn.SWITCH(C661, "JAN", 1, "FEB", 2, "MAR", 3, "APR", 4,"MAY", 5, "JUN",6, "JUL", 7, "AUG", 8, "SEP", 9, "OCT", 10, "NOV", 11, "DEC", 12, "NO")</f>
        <v>9</v>
      </c>
      <c r="E661">
        <v>2025</v>
      </c>
      <c r="F661" t="s">
        <v>1755</v>
      </c>
      <c r="G661">
        <f t="shared" si="32"/>
        <v>22</v>
      </c>
      <c r="H661">
        <v>21</v>
      </c>
      <c r="I661" t="s">
        <v>12</v>
      </c>
      <c r="J661">
        <v>1150</v>
      </c>
      <c r="K661" t="s">
        <v>1756</v>
      </c>
      <c r="L661" t="s">
        <v>1757</v>
      </c>
      <c r="M661" t="str">
        <f t="shared" si="31"/>
        <v>Thursday</v>
      </c>
    </row>
    <row r="662" spans="1:13" x14ac:dyDescent="0.3">
      <c r="A662" s="4">
        <f t="shared" si="30"/>
        <v>45924</v>
      </c>
      <c r="B662">
        <v>24</v>
      </c>
      <c r="C662" t="s">
        <v>1738</v>
      </c>
      <c r="D662" cm="1">
        <f t="array" ref="D662">_xlfn.SWITCH(C662, "JAN", 1, "FEB", 2, "MAR", 3, "APR", 4,"MAY", 5, "JUN",6, "JUL", 7, "AUG", 8, "SEP", 9, "OCT", 10, "NOV", 11, "DEC", 12, "NO")</f>
        <v>9</v>
      </c>
      <c r="E662">
        <v>2025</v>
      </c>
      <c r="F662" t="s">
        <v>1758</v>
      </c>
      <c r="G662">
        <f t="shared" si="32"/>
        <v>11</v>
      </c>
      <c r="H662">
        <v>22</v>
      </c>
      <c r="I662" t="s">
        <v>84</v>
      </c>
      <c r="J662">
        <v>2300</v>
      </c>
      <c r="K662" t="s">
        <v>1759</v>
      </c>
      <c r="L662" t="s">
        <v>1760</v>
      </c>
      <c r="M662" t="str">
        <f t="shared" si="31"/>
        <v>Wednesday</v>
      </c>
    </row>
    <row r="663" spans="1:13" x14ac:dyDescent="0.3">
      <c r="A663" s="4">
        <f t="shared" si="30"/>
        <v>45922</v>
      </c>
      <c r="B663">
        <v>22</v>
      </c>
      <c r="C663" t="s">
        <v>1738</v>
      </c>
      <c r="D663" cm="1">
        <f t="array" ref="D663">_xlfn.SWITCH(C663, "JAN", 1, "FEB", 2, "MAR", 3, "APR", 4,"MAY", 5, "JUN",6, "JUL", 7, "AUG", 8, "SEP", 9, "OCT", 10, "NOV", 11, "DEC", 12, "NO")</f>
        <v>9</v>
      </c>
      <c r="E663">
        <v>2025</v>
      </c>
      <c r="F663" t="s">
        <v>1761</v>
      </c>
      <c r="G663">
        <f t="shared" si="32"/>
        <v>20</v>
      </c>
      <c r="H663">
        <v>42</v>
      </c>
      <c r="I663" t="s">
        <v>12</v>
      </c>
      <c r="J663">
        <v>2300</v>
      </c>
      <c r="K663" t="s">
        <v>1762</v>
      </c>
      <c r="L663" t="s">
        <v>1763</v>
      </c>
      <c r="M663" t="str">
        <f t="shared" si="31"/>
        <v>Monday</v>
      </c>
    </row>
    <row r="664" spans="1:13" x14ac:dyDescent="0.3">
      <c r="A664" s="4">
        <f t="shared" si="30"/>
        <v>45922</v>
      </c>
      <c r="B664">
        <v>22</v>
      </c>
      <c r="C664" t="s">
        <v>1738</v>
      </c>
      <c r="D664" cm="1">
        <f t="array" ref="D664">_xlfn.SWITCH(C664, "JAN", 1, "FEB", 2, "MAR", 3, "APR", 4,"MAY", 5, "JUN",6, "JUL", 7, "AUG", 8, "SEP", 9, "OCT", 10, "NOV", 11, "DEC", 12, "NO")</f>
        <v>9</v>
      </c>
      <c r="E664">
        <v>2025</v>
      </c>
      <c r="F664" t="s">
        <v>373</v>
      </c>
      <c r="G664">
        <f t="shared" si="32"/>
        <v>20</v>
      </c>
      <c r="H664">
        <v>18</v>
      </c>
      <c r="I664" t="s">
        <v>12</v>
      </c>
      <c r="J664">
        <v>40</v>
      </c>
      <c r="K664" t="s">
        <v>1764</v>
      </c>
      <c r="L664" t="s">
        <v>1765</v>
      </c>
      <c r="M664" t="str">
        <f t="shared" si="31"/>
        <v>Monday</v>
      </c>
    </row>
    <row r="665" spans="1:13" x14ac:dyDescent="0.3">
      <c r="A665" s="4">
        <f t="shared" si="30"/>
        <v>45920</v>
      </c>
      <c r="B665">
        <v>20</v>
      </c>
      <c r="C665" t="s">
        <v>1738</v>
      </c>
      <c r="D665" cm="1">
        <f t="array" ref="D665">_xlfn.SWITCH(C665, "JAN", 1, "FEB", 2, "MAR", 3, "APR", 4,"MAY", 5, "JUN",6, "JUL", 7, "AUG", 8, "SEP", 9, "OCT", 10, "NOV", 11, "DEC", 12, "NO")</f>
        <v>9</v>
      </c>
      <c r="E665">
        <v>2025</v>
      </c>
      <c r="F665" t="s">
        <v>811</v>
      </c>
      <c r="G665">
        <f t="shared" si="32"/>
        <v>20</v>
      </c>
      <c r="H665">
        <v>20</v>
      </c>
      <c r="I665" t="s">
        <v>84</v>
      </c>
      <c r="J665">
        <v>50</v>
      </c>
      <c r="K665" t="s">
        <v>1766</v>
      </c>
      <c r="L665" t="s">
        <v>1767</v>
      </c>
      <c r="M665" t="str">
        <f t="shared" si="31"/>
        <v>Saturday</v>
      </c>
    </row>
    <row r="666" spans="1:13" x14ac:dyDescent="0.3">
      <c r="A666" s="4">
        <f t="shared" si="30"/>
        <v>45918</v>
      </c>
      <c r="B666">
        <v>18</v>
      </c>
      <c r="C666" t="s">
        <v>1738</v>
      </c>
      <c r="D666" cm="1">
        <f t="array" ref="D666">_xlfn.SWITCH(C666, "JAN", 1, "FEB", 2, "MAR", 3, "APR", 4,"MAY", 5, "JUN",6, "JUL", 7, "AUG", 8, "SEP", 9, "OCT", 10, "NOV", 11, "DEC", 12, "NO")</f>
        <v>9</v>
      </c>
      <c r="E666">
        <v>2025</v>
      </c>
      <c r="F666" t="s">
        <v>1136</v>
      </c>
      <c r="G666">
        <f t="shared" si="32"/>
        <v>19</v>
      </c>
      <c r="H666">
        <v>36</v>
      </c>
      <c r="I666" t="s">
        <v>84</v>
      </c>
      <c r="J666">
        <v>50</v>
      </c>
      <c r="K666" t="s">
        <v>1768</v>
      </c>
      <c r="L666" t="s">
        <v>1769</v>
      </c>
      <c r="M666" t="str">
        <f t="shared" si="31"/>
        <v>Thursday</v>
      </c>
    </row>
    <row r="667" spans="1:13" x14ac:dyDescent="0.3">
      <c r="A667" s="4">
        <f t="shared" si="30"/>
        <v>45918</v>
      </c>
      <c r="B667">
        <v>18</v>
      </c>
      <c r="C667" t="s">
        <v>1738</v>
      </c>
      <c r="D667" cm="1">
        <f t="array" ref="D667">_xlfn.SWITCH(C667, "JAN", 1, "FEB", 2, "MAR", 3, "APR", 4,"MAY", 5, "JUN",6, "JUL", 7, "AUG", 8, "SEP", 9, "OCT", 10, "NOV", 11, "DEC", 12, "NO")</f>
        <v>9</v>
      </c>
      <c r="E667">
        <v>2025</v>
      </c>
      <c r="F667" t="s">
        <v>1770</v>
      </c>
      <c r="G667">
        <f t="shared" si="32"/>
        <v>15</v>
      </c>
      <c r="H667">
        <v>40</v>
      </c>
      <c r="I667" t="s">
        <v>84</v>
      </c>
      <c r="J667">
        <v>940</v>
      </c>
      <c r="K667" t="s">
        <v>1771</v>
      </c>
      <c r="L667" t="s">
        <v>1772</v>
      </c>
      <c r="M667" t="str">
        <f t="shared" si="31"/>
        <v>Thursday</v>
      </c>
    </row>
    <row r="668" spans="1:13" x14ac:dyDescent="0.3">
      <c r="A668" s="4">
        <f t="shared" si="30"/>
        <v>45918</v>
      </c>
      <c r="B668">
        <v>18</v>
      </c>
      <c r="C668" t="s">
        <v>1738</v>
      </c>
      <c r="D668" cm="1">
        <f t="array" ref="D668">_xlfn.SWITCH(C668, "JAN", 1, "FEB", 2, "MAR", 3, "APR", 4,"MAY", 5, "JUN",6, "JUL", 7, "AUG", 8, "SEP", 9, "OCT", 10, "NOV", 11, "DEC", 12, "NO")</f>
        <v>9</v>
      </c>
      <c r="E668">
        <v>2025</v>
      </c>
      <c r="F668" t="s">
        <v>1773</v>
      </c>
      <c r="G668">
        <f t="shared" si="32"/>
        <v>15</v>
      </c>
      <c r="H668">
        <v>3</v>
      </c>
      <c r="I668" t="s">
        <v>12</v>
      </c>
      <c r="J668">
        <v>940</v>
      </c>
      <c r="K668" t="s">
        <v>1774</v>
      </c>
      <c r="L668" t="s">
        <v>1775</v>
      </c>
      <c r="M668" t="str">
        <f t="shared" si="31"/>
        <v>Thursday</v>
      </c>
    </row>
    <row r="669" spans="1:13" x14ac:dyDescent="0.3">
      <c r="A669" s="4">
        <f t="shared" si="30"/>
        <v>45917</v>
      </c>
      <c r="B669">
        <v>17</v>
      </c>
      <c r="C669" t="s">
        <v>1738</v>
      </c>
      <c r="D669" cm="1">
        <f t="array" ref="D669">_xlfn.SWITCH(C669, "JAN", 1, "FEB", 2, "MAR", 3, "APR", 4,"MAY", 5, "JUN",6, "JUL", 7, "AUG", 8, "SEP", 9, "OCT", 10, "NOV", 11, "DEC", 12, "NO")</f>
        <v>9</v>
      </c>
      <c r="E669">
        <v>2025</v>
      </c>
      <c r="F669" t="s">
        <v>1537</v>
      </c>
      <c r="G669">
        <f t="shared" si="32"/>
        <v>18</v>
      </c>
      <c r="H669">
        <v>42</v>
      </c>
      <c r="I669" t="s">
        <v>84</v>
      </c>
      <c r="J669">
        <v>19</v>
      </c>
      <c r="K669" t="s">
        <v>1776</v>
      </c>
      <c r="L669" t="s">
        <v>1777</v>
      </c>
      <c r="M669" t="str">
        <f t="shared" si="31"/>
        <v>Wednesday</v>
      </c>
    </row>
    <row r="670" spans="1:13" x14ac:dyDescent="0.3">
      <c r="A670" s="4">
        <f t="shared" si="30"/>
        <v>45910</v>
      </c>
      <c r="B670">
        <v>10</v>
      </c>
      <c r="C670" t="s">
        <v>1738</v>
      </c>
      <c r="D670" cm="1">
        <f t="array" ref="D670">_xlfn.SWITCH(C670, "JAN", 1, "FEB", 2, "MAR", 3, "APR", 4,"MAY", 5, "JUN",6, "JUL", 7, "AUG", 8, "SEP", 9, "OCT", 10, "NOV", 11, "DEC", 12, "NO")</f>
        <v>9</v>
      </c>
      <c r="E670">
        <v>2025</v>
      </c>
      <c r="F670" t="s">
        <v>1778</v>
      </c>
      <c r="G670">
        <f t="shared" si="32"/>
        <v>12</v>
      </c>
      <c r="H670">
        <v>51</v>
      </c>
      <c r="I670" t="s">
        <v>12</v>
      </c>
      <c r="J670">
        <v>500</v>
      </c>
      <c r="K670" t="s">
        <v>1779</v>
      </c>
      <c r="L670" t="s">
        <v>1780</v>
      </c>
      <c r="M670" t="str">
        <f t="shared" si="31"/>
        <v>Wednesday</v>
      </c>
    </row>
    <row r="671" spans="1:13" x14ac:dyDescent="0.3">
      <c r="A671" s="4">
        <f t="shared" si="30"/>
        <v>45905</v>
      </c>
      <c r="B671">
        <v>5</v>
      </c>
      <c r="C671" t="s">
        <v>1738</v>
      </c>
      <c r="D671" cm="1">
        <f t="array" ref="D671">_xlfn.SWITCH(C671, "JAN", 1, "FEB", 2, "MAR", 3, "APR", 4,"MAY", 5, "JUN",6, "JUL", 7, "AUG", 8, "SEP", 9, "OCT", 10, "NOV", 11, "DEC", 12, "NO")</f>
        <v>9</v>
      </c>
      <c r="E671">
        <v>2025</v>
      </c>
      <c r="F671" t="s">
        <v>438</v>
      </c>
      <c r="G671">
        <f t="shared" si="32"/>
        <v>20</v>
      </c>
      <c r="H671">
        <v>4</v>
      </c>
      <c r="I671" t="s">
        <v>84</v>
      </c>
      <c r="J671">
        <v>19</v>
      </c>
      <c r="K671" t="s">
        <v>1781</v>
      </c>
      <c r="L671" t="s">
        <v>1782</v>
      </c>
      <c r="M671" t="str">
        <f t="shared" si="31"/>
        <v>Friday</v>
      </c>
    </row>
    <row r="672" spans="1:13" x14ac:dyDescent="0.3">
      <c r="A672" s="4">
        <f t="shared" si="30"/>
        <v>45905</v>
      </c>
      <c r="B672">
        <v>5</v>
      </c>
      <c r="C672" t="s">
        <v>1738</v>
      </c>
      <c r="D672" cm="1">
        <f t="array" ref="D672">_xlfn.SWITCH(C672, "JAN", 1, "FEB", 2, "MAR", 3, "APR", 4,"MAY", 5, "JUN",6, "JUL", 7, "AUG", 8, "SEP", 9, "OCT", 10, "NOV", 11, "DEC", 12, "NO")</f>
        <v>9</v>
      </c>
      <c r="E672">
        <v>2025</v>
      </c>
      <c r="F672" t="s">
        <v>1423</v>
      </c>
      <c r="G672">
        <f t="shared" si="32"/>
        <v>14</v>
      </c>
      <c r="H672">
        <v>46</v>
      </c>
      <c r="I672" t="s">
        <v>12</v>
      </c>
      <c r="J672">
        <v>2500</v>
      </c>
      <c r="K672" t="s">
        <v>1783</v>
      </c>
      <c r="L672" t="s">
        <v>1784</v>
      </c>
      <c r="M672" t="str">
        <f t="shared" si="31"/>
        <v>Friday</v>
      </c>
    </row>
    <row r="673" spans="1:13" x14ac:dyDescent="0.3">
      <c r="A673" s="4">
        <f t="shared" si="30"/>
        <v>45905</v>
      </c>
      <c r="B673">
        <v>5</v>
      </c>
      <c r="C673" t="s">
        <v>1738</v>
      </c>
      <c r="D673" cm="1">
        <f t="array" ref="D673">_xlfn.SWITCH(C673, "JAN", 1, "FEB", 2, "MAR", 3, "APR", 4,"MAY", 5, "JUN",6, "JUL", 7, "AUG", 8, "SEP", 9, "OCT", 10, "NOV", 11, "DEC", 12, "NO")</f>
        <v>9</v>
      </c>
      <c r="E673">
        <v>2025</v>
      </c>
      <c r="F673" t="s">
        <v>1785</v>
      </c>
      <c r="G673">
        <f t="shared" si="32"/>
        <v>12</v>
      </c>
      <c r="H673">
        <v>12</v>
      </c>
      <c r="I673" t="s">
        <v>84</v>
      </c>
      <c r="J673">
        <v>450</v>
      </c>
      <c r="K673" t="s">
        <v>1786</v>
      </c>
      <c r="L673" t="s">
        <v>1787</v>
      </c>
      <c r="M673" t="str">
        <f t="shared" si="31"/>
        <v>Friday</v>
      </c>
    </row>
    <row r="674" spans="1:13" x14ac:dyDescent="0.3">
      <c r="A674" s="4">
        <f t="shared" si="30"/>
        <v>45904</v>
      </c>
      <c r="B674">
        <v>4</v>
      </c>
      <c r="C674" t="s">
        <v>1738</v>
      </c>
      <c r="D674" cm="1">
        <f t="array" ref="D674">_xlfn.SWITCH(C674, "JAN", 1, "FEB", 2, "MAR", 3, "APR", 4,"MAY", 5, "JUN",6, "JUL", 7, "AUG", 8, "SEP", 9, "OCT", 10, "NOV", 11, "DEC", 12, "NO")</f>
        <v>9</v>
      </c>
      <c r="E674">
        <v>2025</v>
      </c>
      <c r="F674" t="s">
        <v>1046</v>
      </c>
      <c r="G674">
        <f t="shared" si="32"/>
        <v>20</v>
      </c>
      <c r="H674">
        <v>26</v>
      </c>
      <c r="I674" t="s">
        <v>12</v>
      </c>
      <c r="J674">
        <v>500</v>
      </c>
      <c r="K674" t="s">
        <v>1788</v>
      </c>
      <c r="L674" t="s">
        <v>1789</v>
      </c>
      <c r="M674" t="str">
        <f t="shared" si="31"/>
        <v>Thursday</v>
      </c>
    </row>
    <row r="675" spans="1:13" x14ac:dyDescent="0.3">
      <c r="A675" s="4">
        <f t="shared" si="30"/>
        <v>45904</v>
      </c>
      <c r="B675">
        <v>4</v>
      </c>
      <c r="C675" t="s">
        <v>1738</v>
      </c>
      <c r="D675" cm="1">
        <f t="array" ref="D675">_xlfn.SWITCH(C675, "JAN", 1, "FEB", 2, "MAR", 3, "APR", 4,"MAY", 5, "JUN",6, "JUL", 7, "AUG", 8, "SEP", 9, "OCT", 10, "NOV", 11, "DEC", 12, "NO")</f>
        <v>9</v>
      </c>
      <c r="E675">
        <v>2025</v>
      </c>
      <c r="F675" t="s">
        <v>173</v>
      </c>
      <c r="G675">
        <f t="shared" si="32"/>
        <v>18</v>
      </c>
      <c r="H675">
        <v>26</v>
      </c>
      <c r="I675" t="s">
        <v>84</v>
      </c>
      <c r="J675">
        <v>500</v>
      </c>
      <c r="K675" t="s">
        <v>1790</v>
      </c>
      <c r="L675" t="s">
        <v>1791</v>
      </c>
      <c r="M675" t="str">
        <f t="shared" si="31"/>
        <v>Thursday</v>
      </c>
    </row>
    <row r="676" spans="1:13" x14ac:dyDescent="0.3">
      <c r="A676" s="4">
        <f t="shared" si="30"/>
        <v>45904</v>
      </c>
      <c r="B676">
        <v>4</v>
      </c>
      <c r="C676" t="s">
        <v>1738</v>
      </c>
      <c r="D676" cm="1">
        <f t="array" ref="D676">_xlfn.SWITCH(C676, "JAN", 1, "FEB", 2, "MAR", 3, "APR", 4,"MAY", 5, "JUN",6, "JUL", 7, "AUG", 8, "SEP", 9, "OCT", 10, "NOV", 11, "DEC", 12, "NO")</f>
        <v>9</v>
      </c>
      <c r="E676">
        <v>2025</v>
      </c>
      <c r="F676" t="s">
        <v>1792</v>
      </c>
      <c r="G676">
        <f t="shared" si="32"/>
        <v>9</v>
      </c>
      <c r="H676">
        <v>0</v>
      </c>
      <c r="I676" t="s">
        <v>84</v>
      </c>
      <c r="J676">
        <v>1900</v>
      </c>
      <c r="K676" t="s">
        <v>1793</v>
      </c>
      <c r="L676" t="s">
        <v>1794</v>
      </c>
      <c r="M676" t="str">
        <f t="shared" si="31"/>
        <v>Thursday</v>
      </c>
    </row>
    <row r="677" spans="1:13" x14ac:dyDescent="0.3">
      <c r="A677" s="4">
        <f t="shared" si="30"/>
        <v>45903</v>
      </c>
      <c r="B677">
        <v>3</v>
      </c>
      <c r="C677" t="s">
        <v>1738</v>
      </c>
      <c r="D677" cm="1">
        <f t="array" ref="D677">_xlfn.SWITCH(C677, "JAN", 1, "FEB", 2, "MAR", 3, "APR", 4,"MAY", 5, "JUN",6, "JUL", 7, "AUG", 8, "SEP", 9, "OCT", 10, "NOV", 11, "DEC", 12, "NO")</f>
        <v>9</v>
      </c>
      <c r="E677">
        <v>2025</v>
      </c>
      <c r="F677" t="s">
        <v>703</v>
      </c>
      <c r="G677">
        <f t="shared" si="32"/>
        <v>15</v>
      </c>
      <c r="H677">
        <v>49</v>
      </c>
      <c r="I677" t="s">
        <v>84</v>
      </c>
      <c r="J677">
        <v>60</v>
      </c>
      <c r="K677" t="s">
        <v>1795</v>
      </c>
      <c r="L677" t="s">
        <v>1796</v>
      </c>
      <c r="M677" t="str">
        <f t="shared" si="31"/>
        <v>Wednesday</v>
      </c>
    </row>
    <row r="678" spans="1:13" x14ac:dyDescent="0.3">
      <c r="A678" s="4">
        <f t="shared" si="30"/>
        <v>45902</v>
      </c>
      <c r="B678">
        <v>2</v>
      </c>
      <c r="C678" t="s">
        <v>1738</v>
      </c>
      <c r="D678" cm="1">
        <f t="array" ref="D678">_xlfn.SWITCH(C678, "JAN", 1, "FEB", 2, "MAR", 3, "APR", 4,"MAY", 5, "JUN",6, "JUL", 7, "AUG", 8, "SEP", 9, "OCT", 10, "NOV", 11, "DEC", 12, "NO")</f>
        <v>9</v>
      </c>
      <c r="E678">
        <v>2025</v>
      </c>
      <c r="F678" t="s">
        <v>1354</v>
      </c>
      <c r="G678">
        <f t="shared" si="32"/>
        <v>19</v>
      </c>
      <c r="H678">
        <v>18</v>
      </c>
      <c r="I678" t="s">
        <v>12</v>
      </c>
      <c r="J678">
        <v>1900</v>
      </c>
      <c r="K678" t="s">
        <v>1797</v>
      </c>
      <c r="L678" t="s">
        <v>1798</v>
      </c>
      <c r="M678" t="str">
        <f t="shared" si="31"/>
        <v>Tuesday</v>
      </c>
    </row>
    <row r="679" spans="1:13" x14ac:dyDescent="0.3">
      <c r="A679" s="4">
        <f t="shared" si="30"/>
        <v>45902</v>
      </c>
      <c r="B679">
        <v>2</v>
      </c>
      <c r="C679" t="s">
        <v>1738</v>
      </c>
      <c r="D679" cm="1">
        <f t="array" ref="D679">_xlfn.SWITCH(C679, "JAN", 1, "FEB", 2, "MAR", 3, "APR", 4,"MAY", 5, "JUN",6, "JUL", 7, "AUG", 8, "SEP", 9, "OCT", 10, "NOV", 11, "DEC", 12, "NO")</f>
        <v>9</v>
      </c>
      <c r="E679">
        <v>2025</v>
      </c>
      <c r="F679" t="s">
        <v>1799</v>
      </c>
      <c r="G679">
        <f t="shared" si="32"/>
        <v>10</v>
      </c>
      <c r="H679">
        <v>47</v>
      </c>
      <c r="I679" t="s">
        <v>84</v>
      </c>
      <c r="J679">
        <v>100</v>
      </c>
      <c r="K679" t="s">
        <v>1800</v>
      </c>
      <c r="L679" t="s">
        <v>1801</v>
      </c>
      <c r="M679" t="str">
        <f t="shared" si="31"/>
        <v>Tuesday</v>
      </c>
    </row>
    <row r="680" spans="1:13" x14ac:dyDescent="0.3">
      <c r="A680" s="4">
        <f t="shared" si="30"/>
        <v>45901</v>
      </c>
      <c r="B680">
        <v>1</v>
      </c>
      <c r="C680" t="s">
        <v>1738</v>
      </c>
      <c r="D680" cm="1">
        <f t="array" ref="D680">_xlfn.SWITCH(C680, "JAN", 1, "FEB", 2, "MAR", 3, "APR", 4,"MAY", 5, "JUN",6, "JUL", 7, "AUG", 8, "SEP", 9, "OCT", 10, "NOV", 11, "DEC", 12, "NO")</f>
        <v>9</v>
      </c>
      <c r="E680">
        <v>2025</v>
      </c>
      <c r="F680" t="s">
        <v>251</v>
      </c>
      <c r="G680">
        <f t="shared" si="32"/>
        <v>15</v>
      </c>
      <c r="H680">
        <v>45</v>
      </c>
      <c r="I680" t="s">
        <v>12</v>
      </c>
      <c r="J680">
        <v>150</v>
      </c>
      <c r="K680" t="s">
        <v>1802</v>
      </c>
      <c r="L680" t="s">
        <v>1803</v>
      </c>
      <c r="M680" t="str">
        <f t="shared" si="31"/>
        <v>Monday</v>
      </c>
    </row>
    <row r="681" spans="1:13" x14ac:dyDescent="0.3">
      <c r="A681" s="4">
        <f t="shared" si="30"/>
        <v>45900</v>
      </c>
      <c r="B681">
        <v>31</v>
      </c>
      <c r="C681" t="s">
        <v>1804</v>
      </c>
      <c r="D681" cm="1">
        <f t="array" ref="D681">_xlfn.SWITCH(C681, "JAN", 1, "FEB", 2, "MAR", 3, "APR", 4,"MAY", 5, "JUN",6, "JUL", 7, "AUG", 8, "SEP", 9, "OCT", 10, "NOV", 11, "DEC", 12, "NO")</f>
        <v>8</v>
      </c>
      <c r="E681">
        <v>2025</v>
      </c>
      <c r="F681" t="s">
        <v>452</v>
      </c>
      <c r="G681">
        <f t="shared" si="32"/>
        <v>17</v>
      </c>
      <c r="H681">
        <v>44</v>
      </c>
      <c r="I681" t="s">
        <v>12</v>
      </c>
      <c r="J681">
        <v>1000</v>
      </c>
      <c r="K681" t="s">
        <v>1805</v>
      </c>
      <c r="L681" t="s">
        <v>1806</v>
      </c>
      <c r="M681" t="str">
        <f t="shared" si="31"/>
        <v>Sunday</v>
      </c>
    </row>
    <row r="682" spans="1:13" x14ac:dyDescent="0.3">
      <c r="A682" s="4">
        <f t="shared" si="30"/>
        <v>45899</v>
      </c>
      <c r="B682">
        <v>30</v>
      </c>
      <c r="C682" t="s">
        <v>1804</v>
      </c>
      <c r="D682" cm="1">
        <f t="array" ref="D682">_xlfn.SWITCH(C682, "JAN", 1, "FEB", 2, "MAR", 3, "APR", 4,"MAY", 5, "JUN",6, "JUL", 7, "AUG", 8, "SEP", 9, "OCT", 10, "NOV", 11, "DEC", 12, "NO")</f>
        <v>8</v>
      </c>
      <c r="E682">
        <v>2025</v>
      </c>
      <c r="F682" t="s">
        <v>1239</v>
      </c>
      <c r="G682">
        <f t="shared" si="32"/>
        <v>21</v>
      </c>
      <c r="H682">
        <v>11</v>
      </c>
      <c r="I682" t="s">
        <v>12</v>
      </c>
      <c r="J682">
        <v>280</v>
      </c>
      <c r="K682" t="s">
        <v>1807</v>
      </c>
      <c r="L682" t="s">
        <v>1808</v>
      </c>
      <c r="M682" t="str">
        <f t="shared" si="31"/>
        <v>Saturday</v>
      </c>
    </row>
    <row r="683" spans="1:13" x14ac:dyDescent="0.3">
      <c r="A683" s="4">
        <f t="shared" si="30"/>
        <v>45899</v>
      </c>
      <c r="B683">
        <v>30</v>
      </c>
      <c r="C683" t="s">
        <v>1804</v>
      </c>
      <c r="D683" cm="1">
        <f t="array" ref="D683">_xlfn.SWITCH(C683, "JAN", 1, "FEB", 2, "MAR", 3, "APR", 4,"MAY", 5, "JUN",6, "JUL", 7, "AUG", 8, "SEP", 9, "OCT", 10, "NOV", 11, "DEC", 12, "NO")</f>
        <v>8</v>
      </c>
      <c r="E683">
        <v>2025</v>
      </c>
      <c r="F683" t="s">
        <v>1733</v>
      </c>
      <c r="G683">
        <f t="shared" si="32"/>
        <v>16</v>
      </c>
      <c r="H683">
        <v>35</v>
      </c>
      <c r="I683" t="s">
        <v>84</v>
      </c>
      <c r="J683">
        <v>560</v>
      </c>
      <c r="K683" t="s">
        <v>1809</v>
      </c>
      <c r="L683" t="s">
        <v>1810</v>
      </c>
      <c r="M683" t="str">
        <f t="shared" si="31"/>
        <v>Saturday</v>
      </c>
    </row>
    <row r="684" spans="1:13" x14ac:dyDescent="0.3">
      <c r="A684" s="4">
        <f t="shared" si="30"/>
        <v>45897</v>
      </c>
      <c r="B684">
        <v>28</v>
      </c>
      <c r="C684" t="s">
        <v>1804</v>
      </c>
      <c r="D684" cm="1">
        <f t="array" ref="D684">_xlfn.SWITCH(C684, "JAN", 1, "FEB", 2, "MAR", 3, "APR", 4,"MAY", 5, "JUN",6, "JUL", 7, "AUG", 8, "SEP", 9, "OCT", 10, "NOV", 11, "DEC", 12, "NO")</f>
        <v>8</v>
      </c>
      <c r="E684">
        <v>2025</v>
      </c>
      <c r="F684" t="s">
        <v>1043</v>
      </c>
      <c r="G684">
        <f t="shared" si="32"/>
        <v>21</v>
      </c>
      <c r="H684">
        <v>2</v>
      </c>
      <c r="I684" t="s">
        <v>84</v>
      </c>
      <c r="J684">
        <v>150</v>
      </c>
      <c r="K684" t="s">
        <v>1811</v>
      </c>
      <c r="L684" t="s">
        <v>1812</v>
      </c>
      <c r="M684" t="str">
        <f t="shared" si="31"/>
        <v>Thursday</v>
      </c>
    </row>
    <row r="685" spans="1:13" x14ac:dyDescent="0.3">
      <c r="A685" s="4">
        <f t="shared" si="30"/>
        <v>45897</v>
      </c>
      <c r="B685">
        <v>28</v>
      </c>
      <c r="C685" t="s">
        <v>1804</v>
      </c>
      <c r="D685" cm="1">
        <f t="array" ref="D685">_xlfn.SWITCH(C685, "JAN", 1, "FEB", 2, "MAR", 3, "APR", 4,"MAY", 5, "JUN",6, "JUL", 7, "AUG", 8, "SEP", 9, "OCT", 10, "NOV", 11, "DEC", 12, "NO")</f>
        <v>8</v>
      </c>
      <c r="E685">
        <v>2025</v>
      </c>
      <c r="F685" t="s">
        <v>1813</v>
      </c>
      <c r="G685">
        <f t="shared" si="32"/>
        <v>20</v>
      </c>
      <c r="H685">
        <v>16</v>
      </c>
      <c r="I685" t="s">
        <v>84</v>
      </c>
      <c r="J685">
        <v>8145</v>
      </c>
      <c r="K685" t="s">
        <v>1814</v>
      </c>
      <c r="L685" t="s">
        <v>1815</v>
      </c>
      <c r="M685" t="str">
        <f t="shared" si="31"/>
        <v>Thursday</v>
      </c>
    </row>
    <row r="686" spans="1:13" x14ac:dyDescent="0.3">
      <c r="A686" s="4">
        <f t="shared" si="30"/>
        <v>45897</v>
      </c>
      <c r="B686">
        <v>28</v>
      </c>
      <c r="C686" t="s">
        <v>1804</v>
      </c>
      <c r="D686" cm="1">
        <f t="array" ref="D686">_xlfn.SWITCH(C686, "JAN", 1, "FEB", 2, "MAR", 3, "APR", 4,"MAY", 5, "JUN",6, "JUL", 7, "AUG", 8, "SEP", 9, "OCT", 10, "NOV", 11, "DEC", 12, "NO")</f>
        <v>8</v>
      </c>
      <c r="E686">
        <v>2025</v>
      </c>
      <c r="F686" t="s">
        <v>1816</v>
      </c>
      <c r="G686">
        <f t="shared" si="32"/>
        <v>19</v>
      </c>
      <c r="H686">
        <v>42</v>
      </c>
      <c r="I686" t="s">
        <v>12</v>
      </c>
      <c r="J686">
        <v>940</v>
      </c>
      <c r="K686" t="s">
        <v>1817</v>
      </c>
      <c r="L686" t="s">
        <v>1818</v>
      </c>
      <c r="M686" t="str">
        <f t="shared" si="31"/>
        <v>Thursday</v>
      </c>
    </row>
    <row r="687" spans="1:13" x14ac:dyDescent="0.3">
      <c r="A687" s="4">
        <f t="shared" si="30"/>
        <v>45897</v>
      </c>
      <c r="B687">
        <v>28</v>
      </c>
      <c r="C687" t="s">
        <v>1804</v>
      </c>
      <c r="D687" cm="1">
        <f t="array" ref="D687">_xlfn.SWITCH(C687, "JAN", 1, "FEB", 2, "MAR", 3, "APR", 4,"MAY", 5, "JUN",6, "JUL", 7, "AUG", 8, "SEP", 9, "OCT", 10, "NOV", 11, "DEC", 12, "NO")</f>
        <v>8</v>
      </c>
      <c r="E687">
        <v>2025</v>
      </c>
      <c r="F687" t="s">
        <v>1224</v>
      </c>
      <c r="G687">
        <f t="shared" si="32"/>
        <v>19</v>
      </c>
      <c r="H687">
        <v>19</v>
      </c>
      <c r="I687" t="s">
        <v>12</v>
      </c>
      <c r="J687">
        <v>940</v>
      </c>
      <c r="K687" t="s">
        <v>1819</v>
      </c>
      <c r="L687" t="s">
        <v>1820</v>
      </c>
      <c r="M687" t="str">
        <f t="shared" si="31"/>
        <v>Thursday</v>
      </c>
    </row>
    <row r="688" spans="1:13" x14ac:dyDescent="0.3">
      <c r="A688" s="4">
        <f t="shared" si="30"/>
        <v>45897</v>
      </c>
      <c r="B688">
        <v>28</v>
      </c>
      <c r="C688" t="s">
        <v>1804</v>
      </c>
      <c r="D688" cm="1">
        <f t="array" ref="D688">_xlfn.SWITCH(C688, "JAN", 1, "FEB", 2, "MAR", 3, "APR", 4,"MAY", 5, "JUN",6, "JUL", 7, "AUG", 8, "SEP", 9, "OCT", 10, "NOV", 11, "DEC", 12, "NO")</f>
        <v>8</v>
      </c>
      <c r="E688">
        <v>2025</v>
      </c>
      <c r="F688" t="s">
        <v>1037</v>
      </c>
      <c r="G688">
        <f t="shared" si="32"/>
        <v>19</v>
      </c>
      <c r="H688">
        <v>10</v>
      </c>
      <c r="I688" t="s">
        <v>12</v>
      </c>
      <c r="J688">
        <v>940</v>
      </c>
      <c r="K688" t="s">
        <v>1821</v>
      </c>
      <c r="L688" t="s">
        <v>1822</v>
      </c>
      <c r="M688" t="str">
        <f t="shared" si="31"/>
        <v>Thursday</v>
      </c>
    </row>
    <row r="689" spans="1:13" x14ac:dyDescent="0.3">
      <c r="A689" s="4">
        <f t="shared" si="30"/>
        <v>45897</v>
      </c>
      <c r="B689">
        <v>28</v>
      </c>
      <c r="C689" t="s">
        <v>1804</v>
      </c>
      <c r="D689" cm="1">
        <f t="array" ref="D689">_xlfn.SWITCH(C689, "JAN", 1, "FEB", 2, "MAR", 3, "APR", 4,"MAY", 5, "JUN",6, "JUL", 7, "AUG", 8, "SEP", 9, "OCT", 10, "NOV", 11, "DEC", 12, "NO")</f>
        <v>8</v>
      </c>
      <c r="E689">
        <v>2025</v>
      </c>
      <c r="F689" t="s">
        <v>269</v>
      </c>
      <c r="G689">
        <f t="shared" si="32"/>
        <v>18</v>
      </c>
      <c r="H689">
        <v>13</v>
      </c>
      <c r="I689" t="s">
        <v>12</v>
      </c>
      <c r="J689">
        <v>940</v>
      </c>
      <c r="K689" t="s">
        <v>1823</v>
      </c>
      <c r="L689" t="s">
        <v>1824</v>
      </c>
      <c r="M689" t="str">
        <f t="shared" si="31"/>
        <v>Thursday</v>
      </c>
    </row>
    <row r="690" spans="1:13" x14ac:dyDescent="0.3">
      <c r="A690" s="4">
        <f t="shared" si="30"/>
        <v>45897</v>
      </c>
      <c r="B690">
        <v>28</v>
      </c>
      <c r="C690" t="s">
        <v>1804</v>
      </c>
      <c r="D690" cm="1">
        <f t="array" ref="D690">_xlfn.SWITCH(C690, "JAN", 1, "FEB", 2, "MAR", 3, "APR", 4,"MAY", 5, "JUN",6, "JUL", 7, "AUG", 8, "SEP", 9, "OCT", 10, "NOV", 11, "DEC", 12, "NO")</f>
        <v>8</v>
      </c>
      <c r="E690">
        <v>2025</v>
      </c>
      <c r="F690" t="s">
        <v>1575</v>
      </c>
      <c r="G690">
        <f t="shared" si="32"/>
        <v>18</v>
      </c>
      <c r="H690">
        <v>0</v>
      </c>
      <c r="I690" t="s">
        <v>12</v>
      </c>
      <c r="J690">
        <v>940</v>
      </c>
      <c r="K690" t="s">
        <v>1825</v>
      </c>
      <c r="L690" t="s">
        <v>1826</v>
      </c>
      <c r="M690" t="str">
        <f t="shared" si="31"/>
        <v>Thursday</v>
      </c>
    </row>
    <row r="691" spans="1:13" x14ac:dyDescent="0.3">
      <c r="A691" s="4">
        <f t="shared" si="30"/>
        <v>45897</v>
      </c>
      <c r="B691">
        <v>28</v>
      </c>
      <c r="C691" t="s">
        <v>1804</v>
      </c>
      <c r="D691" cm="1">
        <f t="array" ref="D691">_xlfn.SWITCH(C691, "JAN", 1, "FEB", 2, "MAR", 3, "APR", 4,"MAY", 5, "JUN",6, "JUL", 7, "AUG", 8, "SEP", 9, "OCT", 10, "NOV", 11, "DEC", 12, "NO")</f>
        <v>8</v>
      </c>
      <c r="E691">
        <v>2025</v>
      </c>
      <c r="F691" t="s">
        <v>1827</v>
      </c>
      <c r="G691">
        <f t="shared" si="32"/>
        <v>17</v>
      </c>
      <c r="H691">
        <v>50</v>
      </c>
      <c r="I691" t="s">
        <v>12</v>
      </c>
      <c r="J691">
        <v>940</v>
      </c>
      <c r="K691" t="s">
        <v>1828</v>
      </c>
      <c r="L691" t="s">
        <v>1829</v>
      </c>
      <c r="M691" t="str">
        <f t="shared" si="31"/>
        <v>Thursday</v>
      </c>
    </row>
    <row r="692" spans="1:13" x14ac:dyDescent="0.3">
      <c r="A692" s="4">
        <f t="shared" si="30"/>
        <v>45897</v>
      </c>
      <c r="B692">
        <v>28</v>
      </c>
      <c r="C692" t="s">
        <v>1804</v>
      </c>
      <c r="D692" cm="1">
        <f t="array" ref="D692">_xlfn.SWITCH(C692, "JAN", 1, "FEB", 2, "MAR", 3, "APR", 4,"MAY", 5, "JUN",6, "JUL", 7, "AUG", 8, "SEP", 9, "OCT", 10, "NOV", 11, "DEC", 12, "NO")</f>
        <v>8</v>
      </c>
      <c r="E692">
        <v>2025</v>
      </c>
      <c r="F692" t="s">
        <v>102</v>
      </c>
      <c r="G692">
        <f t="shared" si="32"/>
        <v>17</v>
      </c>
      <c r="H692">
        <v>49</v>
      </c>
      <c r="I692" t="s">
        <v>12</v>
      </c>
      <c r="J692">
        <v>940</v>
      </c>
      <c r="K692" t="s">
        <v>1830</v>
      </c>
      <c r="L692" t="s">
        <v>1831</v>
      </c>
      <c r="M692" t="str">
        <f t="shared" si="31"/>
        <v>Thursday</v>
      </c>
    </row>
    <row r="693" spans="1:13" x14ac:dyDescent="0.3">
      <c r="A693" s="4">
        <f t="shared" si="30"/>
        <v>45897</v>
      </c>
      <c r="B693">
        <v>28</v>
      </c>
      <c r="C693" t="s">
        <v>1804</v>
      </c>
      <c r="D693" cm="1">
        <f t="array" ref="D693">_xlfn.SWITCH(C693, "JAN", 1, "FEB", 2, "MAR", 3, "APR", 4,"MAY", 5, "JUN",6, "JUL", 7, "AUG", 8, "SEP", 9, "OCT", 10, "NOV", 11, "DEC", 12, "NO")</f>
        <v>8</v>
      </c>
      <c r="E693">
        <v>2025</v>
      </c>
      <c r="F693" t="s">
        <v>277</v>
      </c>
      <c r="G693">
        <f t="shared" si="32"/>
        <v>17</v>
      </c>
      <c r="H693">
        <v>30</v>
      </c>
      <c r="I693" t="s">
        <v>12</v>
      </c>
      <c r="J693">
        <v>50</v>
      </c>
      <c r="K693" t="s">
        <v>1832</v>
      </c>
      <c r="L693" t="s">
        <v>1833</v>
      </c>
      <c r="M693" t="str">
        <f t="shared" si="31"/>
        <v>Thursday</v>
      </c>
    </row>
    <row r="694" spans="1:13" x14ac:dyDescent="0.3">
      <c r="A694" s="4">
        <f t="shared" si="30"/>
        <v>45897</v>
      </c>
      <c r="B694">
        <v>28</v>
      </c>
      <c r="C694" t="s">
        <v>1804</v>
      </c>
      <c r="D694" cm="1">
        <f t="array" ref="D694">_xlfn.SWITCH(C694, "JAN", 1, "FEB", 2, "MAR", 3, "APR", 4,"MAY", 5, "JUN",6, "JUL", 7, "AUG", 8, "SEP", 9, "OCT", 10, "NOV", 11, "DEC", 12, "NO")</f>
        <v>8</v>
      </c>
      <c r="E694">
        <v>2025</v>
      </c>
      <c r="F694" t="s">
        <v>463</v>
      </c>
      <c r="G694">
        <f t="shared" si="32"/>
        <v>17</v>
      </c>
      <c r="H694">
        <v>6</v>
      </c>
      <c r="I694" t="s">
        <v>12</v>
      </c>
      <c r="J694">
        <v>939</v>
      </c>
      <c r="K694" t="s">
        <v>1834</v>
      </c>
      <c r="L694" t="s">
        <v>1835</v>
      </c>
      <c r="M694" t="str">
        <f t="shared" si="31"/>
        <v>Thursday</v>
      </c>
    </row>
    <row r="695" spans="1:13" x14ac:dyDescent="0.3">
      <c r="A695" s="4">
        <f t="shared" si="30"/>
        <v>45897</v>
      </c>
      <c r="B695">
        <v>28</v>
      </c>
      <c r="C695" t="s">
        <v>1804</v>
      </c>
      <c r="D695" cm="1">
        <f t="array" ref="D695">_xlfn.SWITCH(C695, "JAN", 1, "FEB", 2, "MAR", 3, "APR", 4,"MAY", 5, "JUN",6, "JUL", 7, "AUG", 8, "SEP", 9, "OCT", 10, "NOV", 11, "DEC", 12, "NO")</f>
        <v>8</v>
      </c>
      <c r="E695">
        <v>2025</v>
      </c>
      <c r="F695" t="s">
        <v>466</v>
      </c>
      <c r="G695">
        <f t="shared" si="32"/>
        <v>17</v>
      </c>
      <c r="H695">
        <v>4</v>
      </c>
      <c r="I695" t="s">
        <v>12</v>
      </c>
      <c r="J695">
        <v>1</v>
      </c>
      <c r="K695" t="s">
        <v>1836</v>
      </c>
      <c r="L695" t="s">
        <v>1837</v>
      </c>
      <c r="M695" t="str">
        <f t="shared" si="31"/>
        <v>Thursday</v>
      </c>
    </row>
    <row r="696" spans="1:13" x14ac:dyDescent="0.3">
      <c r="A696" s="4">
        <f t="shared" si="30"/>
        <v>45897</v>
      </c>
      <c r="B696">
        <v>28</v>
      </c>
      <c r="C696" t="s">
        <v>1804</v>
      </c>
      <c r="D696" cm="1">
        <f t="array" ref="D696">_xlfn.SWITCH(C696, "JAN", 1, "FEB", 2, "MAR", 3, "APR", 4,"MAY", 5, "JUN",6, "JUL", 7, "AUG", 8, "SEP", 9, "OCT", 10, "NOV", 11, "DEC", 12, "NO")</f>
        <v>8</v>
      </c>
      <c r="E696">
        <v>2025</v>
      </c>
      <c r="F696" t="s">
        <v>650</v>
      </c>
      <c r="G696">
        <f t="shared" si="32"/>
        <v>17</v>
      </c>
      <c r="H696">
        <v>1</v>
      </c>
      <c r="I696" t="s">
        <v>12</v>
      </c>
      <c r="J696">
        <v>940</v>
      </c>
      <c r="K696" t="s">
        <v>1838</v>
      </c>
      <c r="L696" t="s">
        <v>1839</v>
      </c>
      <c r="M696" t="str">
        <f t="shared" si="31"/>
        <v>Thursday</v>
      </c>
    </row>
    <row r="697" spans="1:13" x14ac:dyDescent="0.3">
      <c r="A697" s="4">
        <f t="shared" si="30"/>
        <v>45895</v>
      </c>
      <c r="B697">
        <v>26</v>
      </c>
      <c r="C697" t="s">
        <v>1804</v>
      </c>
      <c r="D697" cm="1">
        <f t="array" ref="D697">_xlfn.SWITCH(C697, "JAN", 1, "FEB", 2, "MAR", 3, "APR", 4,"MAY", 5, "JUN",6, "JUL", 7, "AUG", 8, "SEP", 9, "OCT", 10, "NOV", 11, "DEC", 12, "NO")</f>
        <v>8</v>
      </c>
      <c r="E697">
        <v>2025</v>
      </c>
      <c r="F697" t="s">
        <v>93</v>
      </c>
      <c r="G697">
        <f t="shared" si="32"/>
        <v>18</v>
      </c>
      <c r="H697">
        <v>36</v>
      </c>
      <c r="I697" t="s">
        <v>84</v>
      </c>
      <c r="J697">
        <v>13000</v>
      </c>
      <c r="K697" t="s">
        <v>1840</v>
      </c>
      <c r="L697" t="s">
        <v>1841</v>
      </c>
      <c r="M697" t="str">
        <f t="shared" si="31"/>
        <v>Tuesday</v>
      </c>
    </row>
    <row r="698" spans="1:13" x14ac:dyDescent="0.3">
      <c r="A698" s="4">
        <f t="shared" si="30"/>
        <v>45895</v>
      </c>
      <c r="B698">
        <v>26</v>
      </c>
      <c r="C698" t="s">
        <v>1804</v>
      </c>
      <c r="D698" cm="1">
        <f t="array" ref="D698">_xlfn.SWITCH(C698, "JAN", 1, "FEB", 2, "MAR", 3, "APR", 4,"MAY", 5, "JUN",6, "JUL", 7, "AUG", 8, "SEP", 9, "OCT", 10, "NOV", 11, "DEC", 12, "NO")</f>
        <v>8</v>
      </c>
      <c r="E698">
        <v>2025</v>
      </c>
      <c r="F698" t="s">
        <v>891</v>
      </c>
      <c r="G698">
        <f t="shared" si="32"/>
        <v>18</v>
      </c>
      <c r="H698">
        <v>35</v>
      </c>
      <c r="I698" t="s">
        <v>12</v>
      </c>
      <c r="J698">
        <v>2045</v>
      </c>
      <c r="K698" t="s">
        <v>1842</v>
      </c>
      <c r="L698" t="s">
        <v>1843</v>
      </c>
      <c r="M698" t="str">
        <f t="shared" si="31"/>
        <v>Tuesday</v>
      </c>
    </row>
    <row r="699" spans="1:13" x14ac:dyDescent="0.3">
      <c r="A699" s="4">
        <f t="shared" si="30"/>
        <v>45895</v>
      </c>
      <c r="B699">
        <v>26</v>
      </c>
      <c r="C699" t="s">
        <v>1804</v>
      </c>
      <c r="D699" cm="1">
        <f t="array" ref="D699">_xlfn.SWITCH(C699, "JAN", 1, "FEB", 2, "MAR", 3, "APR", 4,"MAY", 5, "JUN",6, "JUL", 7, "AUG", 8, "SEP", 9, "OCT", 10, "NOV", 11, "DEC", 12, "NO")</f>
        <v>8</v>
      </c>
      <c r="E699">
        <v>2025</v>
      </c>
      <c r="F699" t="s">
        <v>634</v>
      </c>
      <c r="G699">
        <f t="shared" si="32"/>
        <v>18</v>
      </c>
      <c r="H699">
        <v>7</v>
      </c>
      <c r="I699" t="s">
        <v>12</v>
      </c>
      <c r="J699">
        <v>8145</v>
      </c>
      <c r="K699" t="s">
        <v>1844</v>
      </c>
      <c r="L699" t="s">
        <v>1845</v>
      </c>
      <c r="M699" t="str">
        <f t="shared" si="31"/>
        <v>Tuesday</v>
      </c>
    </row>
    <row r="700" spans="1:13" x14ac:dyDescent="0.3">
      <c r="A700" s="4">
        <f t="shared" si="30"/>
        <v>45895</v>
      </c>
      <c r="B700">
        <v>26</v>
      </c>
      <c r="C700" t="s">
        <v>1804</v>
      </c>
      <c r="D700" cm="1">
        <f t="array" ref="D700">_xlfn.SWITCH(C700, "JAN", 1, "FEB", 2, "MAR", 3, "APR", 4,"MAY", 5, "JUN",6, "JUL", 7, "AUG", 8, "SEP", 9, "OCT", 10, "NOV", 11, "DEC", 12, "NO")</f>
        <v>8</v>
      </c>
      <c r="E700">
        <v>2025</v>
      </c>
      <c r="F700" t="s">
        <v>96</v>
      </c>
      <c r="G700">
        <f t="shared" si="32"/>
        <v>18</v>
      </c>
      <c r="H700">
        <v>2</v>
      </c>
      <c r="I700" t="s">
        <v>12</v>
      </c>
      <c r="J700">
        <v>930</v>
      </c>
      <c r="K700" t="s">
        <v>1846</v>
      </c>
      <c r="L700" t="s">
        <v>1847</v>
      </c>
      <c r="M700" t="str">
        <f t="shared" si="31"/>
        <v>Tuesday</v>
      </c>
    </row>
    <row r="701" spans="1:13" x14ac:dyDescent="0.3">
      <c r="A701" s="4">
        <f t="shared" si="30"/>
        <v>45895</v>
      </c>
      <c r="B701">
        <v>26</v>
      </c>
      <c r="C701" t="s">
        <v>1804</v>
      </c>
      <c r="D701" cm="1">
        <f t="array" ref="D701">_xlfn.SWITCH(C701, "JAN", 1, "FEB", 2, "MAR", 3, "APR", 4,"MAY", 5, "JUN",6, "JUL", 7, "AUG", 8, "SEP", 9, "OCT", 10, "NOV", 11, "DEC", 12, "NO")</f>
        <v>8</v>
      </c>
      <c r="E701">
        <v>2025</v>
      </c>
      <c r="F701" t="s">
        <v>1646</v>
      </c>
      <c r="G701">
        <f t="shared" si="32"/>
        <v>17</v>
      </c>
      <c r="H701">
        <v>38</v>
      </c>
      <c r="I701" t="s">
        <v>12</v>
      </c>
      <c r="J701">
        <v>940</v>
      </c>
      <c r="K701" t="s">
        <v>1848</v>
      </c>
      <c r="L701" t="s">
        <v>1849</v>
      </c>
      <c r="M701" t="str">
        <f t="shared" si="31"/>
        <v>Tuesday</v>
      </c>
    </row>
    <row r="702" spans="1:13" x14ac:dyDescent="0.3">
      <c r="A702" s="4">
        <f t="shared" si="30"/>
        <v>45895</v>
      </c>
      <c r="B702">
        <v>26</v>
      </c>
      <c r="C702" t="s">
        <v>1804</v>
      </c>
      <c r="D702" cm="1">
        <f t="array" ref="D702">_xlfn.SWITCH(C702, "JAN", 1, "FEB", 2, "MAR", 3, "APR", 4,"MAY", 5, "JUN",6, "JUL", 7, "AUG", 8, "SEP", 9, "OCT", 10, "NOV", 11, "DEC", 12, "NO")</f>
        <v>8</v>
      </c>
      <c r="E702">
        <v>2025</v>
      </c>
      <c r="F702" t="s">
        <v>455</v>
      </c>
      <c r="G702">
        <f t="shared" si="32"/>
        <v>17</v>
      </c>
      <c r="H702">
        <v>35</v>
      </c>
      <c r="I702" t="s">
        <v>12</v>
      </c>
      <c r="J702">
        <v>940</v>
      </c>
      <c r="K702" t="s">
        <v>1850</v>
      </c>
      <c r="L702" t="s">
        <v>1851</v>
      </c>
      <c r="M702" t="str">
        <f t="shared" si="31"/>
        <v>Tuesday</v>
      </c>
    </row>
    <row r="703" spans="1:13" x14ac:dyDescent="0.3">
      <c r="A703" s="4">
        <f t="shared" si="30"/>
        <v>45894</v>
      </c>
      <c r="B703">
        <v>25</v>
      </c>
      <c r="C703" t="s">
        <v>1804</v>
      </c>
      <c r="D703" cm="1">
        <f t="array" ref="D703">_xlfn.SWITCH(C703, "JAN", 1, "FEB", 2, "MAR", 3, "APR", 4,"MAY", 5, "JUN",6, "JUL", 7, "AUG", 8, "SEP", 9, "OCT", 10, "NOV", 11, "DEC", 12, "NO")</f>
        <v>8</v>
      </c>
      <c r="E703">
        <v>2025</v>
      </c>
      <c r="F703" t="s">
        <v>1198</v>
      </c>
      <c r="G703">
        <f t="shared" si="32"/>
        <v>19</v>
      </c>
      <c r="H703">
        <v>39</v>
      </c>
      <c r="I703" t="s">
        <v>84</v>
      </c>
      <c r="J703">
        <v>1620</v>
      </c>
      <c r="K703" t="s">
        <v>1852</v>
      </c>
      <c r="L703" t="s">
        <v>1853</v>
      </c>
      <c r="M703" t="str">
        <f t="shared" si="31"/>
        <v>Monday</v>
      </c>
    </row>
    <row r="704" spans="1:13" x14ac:dyDescent="0.3">
      <c r="A704" s="4">
        <f t="shared" si="30"/>
        <v>45894</v>
      </c>
      <c r="B704">
        <v>25</v>
      </c>
      <c r="C704" t="s">
        <v>1804</v>
      </c>
      <c r="D704" cm="1">
        <f t="array" ref="D704">_xlfn.SWITCH(C704, "JAN", 1, "FEB", 2, "MAR", 3, "APR", 4,"MAY", 5, "JUN",6, "JUL", 7, "AUG", 8, "SEP", 9, "OCT", 10, "NOV", 11, "DEC", 12, "NO")</f>
        <v>8</v>
      </c>
      <c r="E704">
        <v>2025</v>
      </c>
      <c r="F704" t="s">
        <v>232</v>
      </c>
      <c r="G704">
        <f t="shared" si="32"/>
        <v>19</v>
      </c>
      <c r="H704">
        <v>38</v>
      </c>
      <c r="I704" t="s">
        <v>84</v>
      </c>
      <c r="J704">
        <v>2000</v>
      </c>
      <c r="K704" t="s">
        <v>1854</v>
      </c>
      <c r="L704" t="s">
        <v>1855</v>
      </c>
      <c r="M704" t="str">
        <f t="shared" si="31"/>
        <v>Monday</v>
      </c>
    </row>
    <row r="705" spans="1:13" x14ac:dyDescent="0.3">
      <c r="A705" s="4">
        <f t="shared" si="30"/>
        <v>45894</v>
      </c>
      <c r="B705">
        <v>25</v>
      </c>
      <c r="C705" t="s">
        <v>1804</v>
      </c>
      <c r="D705" cm="1">
        <f t="array" ref="D705">_xlfn.SWITCH(C705, "JAN", 1, "FEB", 2, "MAR", 3, "APR", 4,"MAY", 5, "JUN",6, "JUL", 7, "AUG", 8, "SEP", 9, "OCT", 10, "NOV", 11, "DEC", 12, "NO")</f>
        <v>8</v>
      </c>
      <c r="E705">
        <v>2025</v>
      </c>
      <c r="F705" t="s">
        <v>941</v>
      </c>
      <c r="G705">
        <f t="shared" si="32"/>
        <v>18</v>
      </c>
      <c r="H705">
        <v>34</v>
      </c>
      <c r="I705" t="s">
        <v>12</v>
      </c>
      <c r="J705">
        <v>40</v>
      </c>
      <c r="K705" t="s">
        <v>1856</v>
      </c>
      <c r="L705" t="s">
        <v>1857</v>
      </c>
      <c r="M705" t="str">
        <f t="shared" si="31"/>
        <v>Monday</v>
      </c>
    </row>
    <row r="706" spans="1:13" x14ac:dyDescent="0.3">
      <c r="A706" s="4">
        <f t="shared" ref="A706:A744" si="33">DATE(E706, D706, B706)</f>
        <v>45894</v>
      </c>
      <c r="B706">
        <v>25</v>
      </c>
      <c r="C706" t="s">
        <v>1804</v>
      </c>
      <c r="D706" cm="1">
        <f t="array" ref="D706">_xlfn.SWITCH(C706, "JAN", 1, "FEB", 2, "MAR", 3, "APR", 4,"MAY", 5, "JUN",6, "JUL", 7, "AUG", 8, "SEP", 9, "OCT", 10, "NOV", 11, "DEC", 12, "NO")</f>
        <v>8</v>
      </c>
      <c r="E706">
        <v>2025</v>
      </c>
      <c r="F706" t="s">
        <v>1484</v>
      </c>
      <c r="G706">
        <f t="shared" si="32"/>
        <v>17</v>
      </c>
      <c r="H706">
        <v>58</v>
      </c>
      <c r="I706" t="s">
        <v>12</v>
      </c>
      <c r="J706">
        <v>930</v>
      </c>
      <c r="K706" t="s">
        <v>1858</v>
      </c>
      <c r="L706" t="s">
        <v>1859</v>
      </c>
      <c r="M706" t="str">
        <f t="shared" si="31"/>
        <v>Monday</v>
      </c>
    </row>
    <row r="707" spans="1:13" x14ac:dyDescent="0.3">
      <c r="A707" s="4">
        <f t="shared" si="33"/>
        <v>45894</v>
      </c>
      <c r="B707">
        <v>25</v>
      </c>
      <c r="C707" t="s">
        <v>1804</v>
      </c>
      <c r="D707" cm="1">
        <f t="array" ref="D707">_xlfn.SWITCH(C707, "JAN", 1, "FEB", 2, "MAR", 3, "APR", 4,"MAY", 5, "JUN",6, "JUL", 7, "AUG", 8, "SEP", 9, "OCT", 10, "NOV", 11, "DEC", 12, "NO")</f>
        <v>8</v>
      </c>
      <c r="E707">
        <v>2025</v>
      </c>
      <c r="F707" t="s">
        <v>1053</v>
      </c>
      <c r="G707">
        <f t="shared" ref="G707:G744" si="34">HOUR(F707)</f>
        <v>17</v>
      </c>
      <c r="H707">
        <v>31</v>
      </c>
      <c r="I707" t="s">
        <v>12</v>
      </c>
      <c r="J707">
        <v>30</v>
      </c>
      <c r="K707" t="s">
        <v>1860</v>
      </c>
      <c r="L707" t="s">
        <v>1861</v>
      </c>
      <c r="M707" t="str">
        <f t="shared" ref="M707:M744" si="35">TEXT(A707, "DDDD")</f>
        <v>Monday</v>
      </c>
    </row>
    <row r="708" spans="1:13" x14ac:dyDescent="0.3">
      <c r="A708" s="4">
        <f t="shared" si="33"/>
        <v>45894</v>
      </c>
      <c r="B708">
        <v>25</v>
      </c>
      <c r="C708" t="s">
        <v>1804</v>
      </c>
      <c r="D708" cm="1">
        <f t="array" ref="D708">_xlfn.SWITCH(C708, "JAN", 1, "FEB", 2, "MAR", 3, "APR", 4,"MAY", 5, "JUN",6, "JUL", 7, "AUG", 8, "SEP", 9, "OCT", 10, "NOV", 11, "DEC", 12, "NO")</f>
        <v>8</v>
      </c>
      <c r="E708">
        <v>2025</v>
      </c>
      <c r="F708" t="s">
        <v>1657</v>
      </c>
      <c r="G708">
        <f t="shared" si="34"/>
        <v>17</v>
      </c>
      <c r="H708">
        <v>14</v>
      </c>
      <c r="I708" t="s">
        <v>12</v>
      </c>
      <c r="J708">
        <v>925</v>
      </c>
      <c r="K708" t="s">
        <v>1862</v>
      </c>
      <c r="L708" t="s">
        <v>1863</v>
      </c>
      <c r="M708" t="str">
        <f t="shared" si="35"/>
        <v>Monday</v>
      </c>
    </row>
    <row r="709" spans="1:13" x14ac:dyDescent="0.3">
      <c r="A709" s="4">
        <f t="shared" si="33"/>
        <v>45894</v>
      </c>
      <c r="B709">
        <v>25</v>
      </c>
      <c r="C709" t="s">
        <v>1804</v>
      </c>
      <c r="D709" cm="1">
        <f t="array" ref="D709">_xlfn.SWITCH(C709, "JAN", 1, "FEB", 2, "MAR", 3, "APR", 4,"MAY", 5, "JUN",6, "JUL", 7, "AUG", 8, "SEP", 9, "OCT", 10, "NOV", 11, "DEC", 12, "NO")</f>
        <v>8</v>
      </c>
      <c r="E709">
        <v>2025</v>
      </c>
      <c r="F709" t="s">
        <v>463</v>
      </c>
      <c r="G709">
        <f t="shared" si="34"/>
        <v>17</v>
      </c>
      <c r="H709">
        <v>6</v>
      </c>
      <c r="I709" t="s">
        <v>12</v>
      </c>
      <c r="J709">
        <v>940</v>
      </c>
      <c r="K709" t="s">
        <v>1864</v>
      </c>
      <c r="L709" t="s">
        <v>1865</v>
      </c>
      <c r="M709" t="str">
        <f t="shared" si="35"/>
        <v>Monday</v>
      </c>
    </row>
    <row r="710" spans="1:13" x14ac:dyDescent="0.3">
      <c r="A710" s="4">
        <f t="shared" si="33"/>
        <v>45894</v>
      </c>
      <c r="B710">
        <v>25</v>
      </c>
      <c r="C710" t="s">
        <v>1804</v>
      </c>
      <c r="D710" cm="1">
        <f t="array" ref="D710">_xlfn.SWITCH(C710, "JAN", 1, "FEB", 2, "MAR", 3, "APR", 4,"MAY", 5, "JUN",6, "JUL", 7, "AUG", 8, "SEP", 9, "OCT", 10, "NOV", 11, "DEC", 12, "NO")</f>
        <v>8</v>
      </c>
      <c r="E710">
        <v>2025</v>
      </c>
      <c r="F710" t="s">
        <v>1349</v>
      </c>
      <c r="G710">
        <f t="shared" si="34"/>
        <v>16</v>
      </c>
      <c r="H710">
        <v>43</v>
      </c>
      <c r="I710" t="s">
        <v>12</v>
      </c>
      <c r="J710">
        <v>940</v>
      </c>
      <c r="K710" t="s">
        <v>1866</v>
      </c>
      <c r="L710" t="s">
        <v>1867</v>
      </c>
      <c r="M710" t="str">
        <f t="shared" si="35"/>
        <v>Monday</v>
      </c>
    </row>
    <row r="711" spans="1:13" x14ac:dyDescent="0.3">
      <c r="A711" s="4">
        <f t="shared" si="33"/>
        <v>45886</v>
      </c>
      <c r="B711">
        <v>17</v>
      </c>
      <c r="C711" t="s">
        <v>1804</v>
      </c>
      <c r="D711" cm="1">
        <f t="array" ref="D711">_xlfn.SWITCH(C711, "JAN", 1, "FEB", 2, "MAR", 3, "APR", 4,"MAY", 5, "JUN",6, "JUL", 7, "AUG", 8, "SEP", 9, "OCT", 10, "NOV", 11, "DEC", 12, "NO")</f>
        <v>8</v>
      </c>
      <c r="E711">
        <v>2025</v>
      </c>
      <c r="F711" t="s">
        <v>1868</v>
      </c>
      <c r="G711">
        <f t="shared" si="34"/>
        <v>14</v>
      </c>
      <c r="H711">
        <v>50</v>
      </c>
      <c r="I711" t="s">
        <v>12</v>
      </c>
      <c r="J711">
        <v>160</v>
      </c>
      <c r="K711" t="s">
        <v>1869</v>
      </c>
      <c r="L711" t="s">
        <v>1870</v>
      </c>
      <c r="M711" t="str">
        <f t="shared" si="35"/>
        <v>Sunday</v>
      </c>
    </row>
    <row r="712" spans="1:13" x14ac:dyDescent="0.3">
      <c r="A712" s="4">
        <f t="shared" si="33"/>
        <v>45885</v>
      </c>
      <c r="B712">
        <v>16</v>
      </c>
      <c r="C712" t="s">
        <v>1804</v>
      </c>
      <c r="D712" cm="1">
        <f t="array" ref="D712">_xlfn.SWITCH(C712, "JAN", 1, "FEB", 2, "MAR", 3, "APR", 4,"MAY", 5, "JUN",6, "JUL", 7, "AUG", 8, "SEP", 9, "OCT", 10, "NOV", 11, "DEC", 12, "NO")</f>
        <v>8</v>
      </c>
      <c r="E712">
        <v>2025</v>
      </c>
      <c r="F712" t="s">
        <v>1871</v>
      </c>
      <c r="G712">
        <f t="shared" si="34"/>
        <v>18</v>
      </c>
      <c r="H712">
        <v>22</v>
      </c>
      <c r="I712" t="s">
        <v>12</v>
      </c>
      <c r="J712">
        <v>160</v>
      </c>
      <c r="K712" t="s">
        <v>1872</v>
      </c>
      <c r="L712" t="s">
        <v>1873</v>
      </c>
      <c r="M712" t="str">
        <f t="shared" si="35"/>
        <v>Saturday</v>
      </c>
    </row>
    <row r="713" spans="1:13" x14ac:dyDescent="0.3">
      <c r="A713" s="4">
        <f t="shared" si="33"/>
        <v>45878</v>
      </c>
      <c r="B713">
        <v>9</v>
      </c>
      <c r="C713" t="s">
        <v>1804</v>
      </c>
      <c r="D713" cm="1">
        <f t="array" ref="D713">_xlfn.SWITCH(C713, "JAN", 1, "FEB", 2, "MAR", 3, "APR", 4,"MAY", 5, "JUN",6, "JUL", 7, "AUG", 8, "SEP", 9, "OCT", 10, "NOV", 11, "DEC", 12, "NO")</f>
        <v>8</v>
      </c>
      <c r="E713">
        <v>2025</v>
      </c>
      <c r="F713" t="s">
        <v>504</v>
      </c>
      <c r="G713">
        <f t="shared" si="34"/>
        <v>13</v>
      </c>
      <c r="H713">
        <v>25</v>
      </c>
      <c r="I713" t="s">
        <v>12</v>
      </c>
      <c r="J713">
        <v>1000</v>
      </c>
      <c r="K713" t="s">
        <v>1874</v>
      </c>
      <c r="L713" t="s">
        <v>1875</v>
      </c>
      <c r="M713" t="str">
        <f t="shared" si="35"/>
        <v>Saturday</v>
      </c>
    </row>
    <row r="714" spans="1:13" x14ac:dyDescent="0.3">
      <c r="A714" s="4">
        <f t="shared" si="33"/>
        <v>45875</v>
      </c>
      <c r="B714">
        <v>6</v>
      </c>
      <c r="C714" t="s">
        <v>1804</v>
      </c>
      <c r="D714" cm="1">
        <f t="array" ref="D714">_xlfn.SWITCH(C714, "JAN", 1, "FEB", 2, "MAR", 3, "APR", 4,"MAY", 5, "JUN",6, "JUL", 7, "AUG", 8, "SEP", 9, "OCT", 10, "NOV", 11, "DEC", 12, "NO")</f>
        <v>8</v>
      </c>
      <c r="E714">
        <v>2025</v>
      </c>
      <c r="F714" t="s">
        <v>348</v>
      </c>
      <c r="G714">
        <f t="shared" si="34"/>
        <v>15</v>
      </c>
      <c r="H714">
        <v>50</v>
      </c>
      <c r="I714" t="s">
        <v>84</v>
      </c>
      <c r="J714">
        <v>100</v>
      </c>
      <c r="K714" t="s">
        <v>1876</v>
      </c>
      <c r="L714" t="s">
        <v>1877</v>
      </c>
      <c r="M714" t="str">
        <f t="shared" si="35"/>
        <v>Wednesday</v>
      </c>
    </row>
    <row r="715" spans="1:13" x14ac:dyDescent="0.3">
      <c r="A715" s="4">
        <f t="shared" si="33"/>
        <v>45875</v>
      </c>
      <c r="B715">
        <v>6</v>
      </c>
      <c r="C715" t="s">
        <v>1804</v>
      </c>
      <c r="D715" cm="1">
        <f t="array" ref="D715">_xlfn.SWITCH(C715, "JAN", 1, "FEB", 2, "MAR", 3, "APR", 4,"MAY", 5, "JUN",6, "JUL", 7, "AUG", 8, "SEP", 9, "OCT", 10, "NOV", 11, "DEC", 12, "NO")</f>
        <v>8</v>
      </c>
      <c r="E715">
        <v>2025</v>
      </c>
      <c r="F715" t="s">
        <v>1306</v>
      </c>
      <c r="G715">
        <f t="shared" si="34"/>
        <v>15</v>
      </c>
      <c r="H715">
        <v>39</v>
      </c>
      <c r="I715" t="s">
        <v>12</v>
      </c>
      <c r="J715">
        <v>200</v>
      </c>
      <c r="K715" t="s">
        <v>1878</v>
      </c>
      <c r="L715" t="s">
        <v>1879</v>
      </c>
      <c r="M715" t="str">
        <f t="shared" si="35"/>
        <v>Wednesday</v>
      </c>
    </row>
    <row r="716" spans="1:13" x14ac:dyDescent="0.3">
      <c r="A716" s="4">
        <f t="shared" si="33"/>
        <v>45875</v>
      </c>
      <c r="B716">
        <v>6</v>
      </c>
      <c r="C716" t="s">
        <v>1804</v>
      </c>
      <c r="D716" cm="1">
        <f t="array" ref="D716">_xlfn.SWITCH(C716, "JAN", 1, "FEB", 2, "MAR", 3, "APR", 4,"MAY", 5, "JUN",6, "JUL", 7, "AUG", 8, "SEP", 9, "OCT", 10, "NOV", 11, "DEC", 12, "NO")</f>
        <v>8</v>
      </c>
      <c r="E716">
        <v>2025</v>
      </c>
      <c r="F716" t="s">
        <v>1528</v>
      </c>
      <c r="G716">
        <f t="shared" si="34"/>
        <v>15</v>
      </c>
      <c r="H716">
        <v>14</v>
      </c>
      <c r="I716" t="s">
        <v>84</v>
      </c>
      <c r="J716">
        <v>850</v>
      </c>
      <c r="K716" t="s">
        <v>1880</v>
      </c>
      <c r="L716" t="s">
        <v>1881</v>
      </c>
      <c r="M716" t="str">
        <f t="shared" si="35"/>
        <v>Wednesday</v>
      </c>
    </row>
    <row r="717" spans="1:13" x14ac:dyDescent="0.3">
      <c r="A717" s="4">
        <f t="shared" si="33"/>
        <v>45874</v>
      </c>
      <c r="B717">
        <v>5</v>
      </c>
      <c r="C717" t="s">
        <v>1804</v>
      </c>
      <c r="D717" cm="1">
        <f t="array" ref="D717">_xlfn.SWITCH(C717, "JAN", 1, "FEB", 2, "MAR", 3, "APR", 4,"MAY", 5, "JUN",6, "JUL", 7, "AUG", 8, "SEP", 9, "OCT", 10, "NOV", 11, "DEC", 12, "NO")</f>
        <v>8</v>
      </c>
      <c r="E717">
        <v>2025</v>
      </c>
      <c r="F717" t="s">
        <v>1612</v>
      </c>
      <c r="G717">
        <f t="shared" si="34"/>
        <v>21</v>
      </c>
      <c r="H717">
        <v>5</v>
      </c>
      <c r="I717" t="s">
        <v>84</v>
      </c>
      <c r="J717">
        <v>19</v>
      </c>
      <c r="K717" t="s">
        <v>1882</v>
      </c>
      <c r="L717" t="s">
        <v>1883</v>
      </c>
      <c r="M717" t="str">
        <f t="shared" si="35"/>
        <v>Tuesday</v>
      </c>
    </row>
    <row r="718" spans="1:13" x14ac:dyDescent="0.3">
      <c r="A718" s="4">
        <f t="shared" si="33"/>
        <v>45874</v>
      </c>
      <c r="B718">
        <v>5</v>
      </c>
      <c r="C718" t="s">
        <v>1804</v>
      </c>
      <c r="D718" cm="1">
        <f t="array" ref="D718">_xlfn.SWITCH(C718, "JAN", 1, "FEB", 2, "MAR", 3, "APR", 4,"MAY", 5, "JUN",6, "JUL", 7, "AUG", 8, "SEP", 9, "OCT", 10, "NOV", 11, "DEC", 12, "NO")</f>
        <v>8</v>
      </c>
      <c r="E718">
        <v>2025</v>
      </c>
      <c r="F718" t="s">
        <v>679</v>
      </c>
      <c r="G718">
        <f t="shared" si="34"/>
        <v>17</v>
      </c>
      <c r="H718">
        <v>27</v>
      </c>
      <c r="I718" t="s">
        <v>12</v>
      </c>
      <c r="J718">
        <v>400</v>
      </c>
      <c r="K718" t="s">
        <v>1884</v>
      </c>
      <c r="L718" t="s">
        <v>1885</v>
      </c>
      <c r="M718" t="str">
        <f t="shared" si="35"/>
        <v>Tuesday</v>
      </c>
    </row>
    <row r="719" spans="1:13" x14ac:dyDescent="0.3">
      <c r="A719" s="4">
        <f t="shared" si="33"/>
        <v>45869</v>
      </c>
      <c r="B719">
        <v>31</v>
      </c>
      <c r="C719" t="s">
        <v>1886</v>
      </c>
      <c r="D719" cm="1">
        <f t="array" ref="D719">_xlfn.SWITCH(C719, "JAN", 1, "FEB", 2, "MAR", 3, "APR", 4,"MAY", 5, "JUN",6, "JUL", 7, "AUG", 8, "SEP", 9, "OCT", 10, "NOV", 11, "DEC", 12, "NO")</f>
        <v>7</v>
      </c>
      <c r="E719">
        <v>2025</v>
      </c>
      <c r="F719" t="s">
        <v>1172</v>
      </c>
      <c r="G719">
        <f t="shared" si="34"/>
        <v>20</v>
      </c>
      <c r="H719">
        <v>56</v>
      </c>
      <c r="I719" t="s">
        <v>84</v>
      </c>
      <c r="J719">
        <v>905</v>
      </c>
      <c r="K719" t="s">
        <v>1887</v>
      </c>
      <c r="L719" t="s">
        <v>1888</v>
      </c>
      <c r="M719" t="str">
        <f t="shared" si="35"/>
        <v>Thursday</v>
      </c>
    </row>
    <row r="720" spans="1:13" x14ac:dyDescent="0.3">
      <c r="A720" s="4">
        <f t="shared" si="33"/>
        <v>45868</v>
      </c>
      <c r="B720">
        <v>30</v>
      </c>
      <c r="C720" t="s">
        <v>1886</v>
      </c>
      <c r="D720" cm="1">
        <f t="array" ref="D720">_xlfn.SWITCH(C720, "JAN", 1, "FEB", 2, "MAR", 3, "APR", 4,"MAY", 5, "JUN",6, "JUL", 7, "AUG", 8, "SEP", 9, "OCT", 10, "NOV", 11, "DEC", 12, "NO")</f>
        <v>7</v>
      </c>
      <c r="E720">
        <v>2025</v>
      </c>
      <c r="F720" t="s">
        <v>146</v>
      </c>
      <c r="G720">
        <f t="shared" si="34"/>
        <v>15</v>
      </c>
      <c r="H720">
        <v>2</v>
      </c>
      <c r="I720" t="s">
        <v>84</v>
      </c>
      <c r="J720">
        <v>1000</v>
      </c>
      <c r="K720" t="s">
        <v>1889</v>
      </c>
      <c r="L720" t="s">
        <v>1890</v>
      </c>
      <c r="M720" t="str">
        <f t="shared" si="35"/>
        <v>Wednesday</v>
      </c>
    </row>
    <row r="721" spans="1:13" x14ac:dyDescent="0.3">
      <c r="A721" s="4">
        <f t="shared" si="33"/>
        <v>45867</v>
      </c>
      <c r="B721">
        <v>29</v>
      </c>
      <c r="C721" t="s">
        <v>1886</v>
      </c>
      <c r="D721" cm="1">
        <f t="array" ref="D721">_xlfn.SWITCH(C721, "JAN", 1, "FEB", 2, "MAR", 3, "APR", 4,"MAY", 5, "JUN",6, "JUL", 7, "AUG", 8, "SEP", 9, "OCT", 10, "NOV", 11, "DEC", 12, "NO")</f>
        <v>7</v>
      </c>
      <c r="E721">
        <v>2025</v>
      </c>
      <c r="F721" t="s">
        <v>1891</v>
      </c>
      <c r="G721">
        <f t="shared" si="34"/>
        <v>12</v>
      </c>
      <c r="H721">
        <v>43</v>
      </c>
      <c r="I721" t="s">
        <v>12</v>
      </c>
      <c r="J721">
        <v>300</v>
      </c>
      <c r="K721" t="s">
        <v>1892</v>
      </c>
      <c r="L721" t="s">
        <v>1893</v>
      </c>
      <c r="M721" t="str">
        <f t="shared" si="35"/>
        <v>Tuesday</v>
      </c>
    </row>
    <row r="722" spans="1:13" x14ac:dyDescent="0.3">
      <c r="A722" s="4">
        <f t="shared" si="33"/>
        <v>45866</v>
      </c>
      <c r="B722">
        <v>28</v>
      </c>
      <c r="C722" t="s">
        <v>1886</v>
      </c>
      <c r="D722" cm="1">
        <f t="array" ref="D722">_xlfn.SWITCH(C722, "JAN", 1, "FEB", 2, "MAR", 3, "APR", 4,"MAY", 5, "JUN",6, "JUL", 7, "AUG", 8, "SEP", 9, "OCT", 10, "NOV", 11, "DEC", 12, "NO")</f>
        <v>7</v>
      </c>
      <c r="E722">
        <v>2025</v>
      </c>
      <c r="F722" t="s">
        <v>361</v>
      </c>
      <c r="G722">
        <f t="shared" si="34"/>
        <v>14</v>
      </c>
      <c r="H722">
        <v>4</v>
      </c>
      <c r="I722" t="s">
        <v>84</v>
      </c>
      <c r="J722">
        <v>2140</v>
      </c>
      <c r="K722" t="s">
        <v>1894</v>
      </c>
      <c r="L722" t="s">
        <v>1895</v>
      </c>
      <c r="M722" t="str">
        <f t="shared" si="35"/>
        <v>Monday</v>
      </c>
    </row>
    <row r="723" spans="1:13" x14ac:dyDescent="0.3">
      <c r="A723" s="4">
        <f t="shared" si="33"/>
        <v>45866</v>
      </c>
      <c r="B723">
        <v>28</v>
      </c>
      <c r="C723" t="s">
        <v>1886</v>
      </c>
      <c r="D723" cm="1">
        <f t="array" ref="D723">_xlfn.SWITCH(C723, "JAN", 1, "FEB", 2, "MAR", 3, "APR", 4,"MAY", 5, "JUN",6, "JUL", 7, "AUG", 8, "SEP", 9, "OCT", 10, "NOV", 11, "DEC", 12, "NO")</f>
        <v>7</v>
      </c>
      <c r="E723">
        <v>2025</v>
      </c>
      <c r="F723" t="s">
        <v>1896</v>
      </c>
      <c r="G723">
        <f t="shared" si="34"/>
        <v>13</v>
      </c>
      <c r="H723">
        <v>33</v>
      </c>
      <c r="I723" t="s">
        <v>12</v>
      </c>
      <c r="J723">
        <v>2140</v>
      </c>
      <c r="K723" t="s">
        <v>1897</v>
      </c>
      <c r="L723" t="s">
        <v>1898</v>
      </c>
      <c r="M723" t="str">
        <f t="shared" si="35"/>
        <v>Monday</v>
      </c>
    </row>
    <row r="724" spans="1:13" x14ac:dyDescent="0.3">
      <c r="A724" s="4">
        <f t="shared" si="33"/>
        <v>45866</v>
      </c>
      <c r="B724">
        <v>28</v>
      </c>
      <c r="C724" t="s">
        <v>1886</v>
      </c>
      <c r="D724" cm="1">
        <f t="array" ref="D724">_xlfn.SWITCH(C724, "JAN", 1, "FEB", 2, "MAR", 3, "APR", 4,"MAY", 5, "JUN",6, "JUL", 7, "AUG", 8, "SEP", 9, "OCT", 10, "NOV", 11, "DEC", 12, "NO")</f>
        <v>7</v>
      </c>
      <c r="E724">
        <v>2025</v>
      </c>
      <c r="F724" t="s">
        <v>846</v>
      </c>
      <c r="G724">
        <f t="shared" si="34"/>
        <v>13</v>
      </c>
      <c r="H724">
        <v>28</v>
      </c>
      <c r="I724" t="s">
        <v>84</v>
      </c>
      <c r="J724">
        <v>2140</v>
      </c>
      <c r="K724" t="s">
        <v>1899</v>
      </c>
      <c r="L724" t="s">
        <v>1900</v>
      </c>
      <c r="M724" t="str">
        <f t="shared" si="35"/>
        <v>Monday</v>
      </c>
    </row>
    <row r="725" spans="1:13" x14ac:dyDescent="0.3">
      <c r="A725" s="4">
        <f t="shared" si="33"/>
        <v>45866</v>
      </c>
      <c r="B725">
        <v>28</v>
      </c>
      <c r="C725" t="s">
        <v>1886</v>
      </c>
      <c r="D725" cm="1">
        <f t="array" ref="D725">_xlfn.SWITCH(C725, "JAN", 1, "FEB", 2, "MAR", 3, "APR", 4,"MAY", 5, "JUN",6, "JUL", 7, "AUG", 8, "SEP", 9, "OCT", 10, "NOV", 11, "DEC", 12, "NO")</f>
        <v>7</v>
      </c>
      <c r="E725">
        <v>2025</v>
      </c>
      <c r="F725" t="s">
        <v>1901</v>
      </c>
      <c r="G725">
        <f t="shared" si="34"/>
        <v>13</v>
      </c>
      <c r="H725">
        <v>22</v>
      </c>
      <c r="I725" t="s">
        <v>84</v>
      </c>
      <c r="J725">
        <v>2140</v>
      </c>
      <c r="K725" t="s">
        <v>1902</v>
      </c>
      <c r="L725" t="s">
        <v>1903</v>
      </c>
      <c r="M725" t="str">
        <f t="shared" si="35"/>
        <v>Monday</v>
      </c>
    </row>
    <row r="726" spans="1:13" x14ac:dyDescent="0.3">
      <c r="A726" s="4">
        <f t="shared" si="33"/>
        <v>45866</v>
      </c>
      <c r="B726">
        <v>28</v>
      </c>
      <c r="C726" t="s">
        <v>1886</v>
      </c>
      <c r="D726" cm="1">
        <f t="array" ref="D726">_xlfn.SWITCH(C726, "JAN", 1, "FEB", 2, "MAR", 3, "APR", 4,"MAY", 5, "JUN",6, "JUL", 7, "AUG", 8, "SEP", 9, "OCT", 10, "NOV", 11, "DEC", 12, "NO")</f>
        <v>7</v>
      </c>
      <c r="E726">
        <v>2025</v>
      </c>
      <c r="F726" t="s">
        <v>1904</v>
      </c>
      <c r="G726">
        <f t="shared" si="34"/>
        <v>11</v>
      </c>
      <c r="H726">
        <v>0</v>
      </c>
      <c r="I726" t="s">
        <v>12</v>
      </c>
      <c r="J726">
        <v>2140</v>
      </c>
      <c r="K726" t="s">
        <v>1905</v>
      </c>
      <c r="L726" t="s">
        <v>1906</v>
      </c>
      <c r="M726" t="str">
        <f t="shared" si="35"/>
        <v>Monday</v>
      </c>
    </row>
    <row r="727" spans="1:13" x14ac:dyDescent="0.3">
      <c r="A727" s="4">
        <f t="shared" si="33"/>
        <v>45865</v>
      </c>
      <c r="B727">
        <v>27</v>
      </c>
      <c r="C727" t="s">
        <v>1886</v>
      </c>
      <c r="D727" cm="1">
        <f t="array" ref="D727">_xlfn.SWITCH(C727, "JAN", 1, "FEB", 2, "MAR", 3, "APR", 4,"MAY", 5, "JUN",6, "JUL", 7, "AUG", 8, "SEP", 9, "OCT", 10, "NOV", 11, "DEC", 12, "NO")</f>
        <v>7</v>
      </c>
      <c r="E727">
        <v>2025</v>
      </c>
      <c r="F727" t="s">
        <v>689</v>
      </c>
      <c r="G727">
        <f t="shared" si="34"/>
        <v>16</v>
      </c>
      <c r="H727">
        <v>56</v>
      </c>
      <c r="I727" t="s">
        <v>12</v>
      </c>
      <c r="J727">
        <v>2150</v>
      </c>
      <c r="K727" t="s">
        <v>1907</v>
      </c>
      <c r="L727" t="s">
        <v>1908</v>
      </c>
      <c r="M727" t="str">
        <f t="shared" si="35"/>
        <v>Sunday</v>
      </c>
    </row>
    <row r="728" spans="1:13" x14ac:dyDescent="0.3">
      <c r="A728" s="4">
        <f t="shared" si="33"/>
        <v>45861</v>
      </c>
      <c r="B728">
        <v>23</v>
      </c>
      <c r="C728" t="s">
        <v>1886</v>
      </c>
      <c r="D728" cm="1">
        <f t="array" ref="D728">_xlfn.SWITCH(C728, "JAN", 1, "FEB", 2, "MAR", 3, "APR", 4,"MAY", 5, "JUN",6, "JUL", 7, "AUG", 8, "SEP", 9, "OCT", 10, "NOV", 11, "DEC", 12, "NO")</f>
        <v>7</v>
      </c>
      <c r="E728">
        <v>2025</v>
      </c>
      <c r="F728" t="s">
        <v>1909</v>
      </c>
      <c r="G728">
        <f t="shared" si="34"/>
        <v>20</v>
      </c>
      <c r="H728">
        <v>54</v>
      </c>
      <c r="I728" t="s">
        <v>12</v>
      </c>
      <c r="J728">
        <v>940</v>
      </c>
      <c r="K728" t="s">
        <v>1910</v>
      </c>
      <c r="L728" t="s">
        <v>1911</v>
      </c>
      <c r="M728" t="str">
        <f t="shared" si="35"/>
        <v>Wednesday</v>
      </c>
    </row>
    <row r="729" spans="1:13" x14ac:dyDescent="0.3">
      <c r="A729" s="4">
        <f t="shared" si="33"/>
        <v>45860</v>
      </c>
      <c r="B729">
        <v>22</v>
      </c>
      <c r="C729" t="s">
        <v>1886</v>
      </c>
      <c r="D729" cm="1">
        <f t="array" ref="D729">_xlfn.SWITCH(C729, "JAN", 1, "FEB", 2, "MAR", 3, "APR", 4,"MAY", 5, "JUN",6, "JUL", 7, "AUG", 8, "SEP", 9, "OCT", 10, "NOV", 11, "DEC", 12, "NO")</f>
        <v>7</v>
      </c>
      <c r="E729">
        <v>2025</v>
      </c>
      <c r="F729" t="s">
        <v>1912</v>
      </c>
      <c r="G729">
        <f t="shared" si="34"/>
        <v>20</v>
      </c>
      <c r="H729">
        <v>7</v>
      </c>
      <c r="I729" t="s">
        <v>84</v>
      </c>
      <c r="J729">
        <v>900</v>
      </c>
      <c r="K729" t="s">
        <v>1913</v>
      </c>
      <c r="L729" t="s">
        <v>1914</v>
      </c>
      <c r="M729" t="str">
        <f t="shared" si="35"/>
        <v>Tuesday</v>
      </c>
    </row>
    <row r="730" spans="1:13" x14ac:dyDescent="0.3">
      <c r="A730" s="4">
        <f t="shared" si="33"/>
        <v>45859</v>
      </c>
      <c r="B730">
        <v>21</v>
      </c>
      <c r="C730" t="s">
        <v>1886</v>
      </c>
      <c r="D730" cm="1">
        <f t="array" ref="D730">_xlfn.SWITCH(C730, "JAN", 1, "FEB", 2, "MAR", 3, "APR", 4,"MAY", 5, "JUN",6, "JUL", 7, "AUG", 8, "SEP", 9, "OCT", 10, "NOV", 11, "DEC", 12, "NO")</f>
        <v>7</v>
      </c>
      <c r="E730">
        <v>2025</v>
      </c>
      <c r="F730" t="s">
        <v>1626</v>
      </c>
      <c r="G730">
        <f t="shared" si="34"/>
        <v>8</v>
      </c>
      <c r="H730">
        <v>28</v>
      </c>
      <c r="I730" t="s">
        <v>12</v>
      </c>
      <c r="J730">
        <v>100</v>
      </c>
      <c r="K730" t="s">
        <v>1915</v>
      </c>
      <c r="L730" t="s">
        <v>1916</v>
      </c>
      <c r="M730" t="str">
        <f t="shared" si="35"/>
        <v>Monday</v>
      </c>
    </row>
    <row r="731" spans="1:13" x14ac:dyDescent="0.3">
      <c r="A731" s="4">
        <f t="shared" si="33"/>
        <v>45857</v>
      </c>
      <c r="B731">
        <v>19</v>
      </c>
      <c r="C731" t="s">
        <v>1886</v>
      </c>
      <c r="D731" cm="1">
        <f t="array" ref="D731">_xlfn.SWITCH(C731, "JAN", 1, "FEB", 2, "MAR", 3, "APR", 4,"MAY", 5, "JUN",6, "JUL", 7, "AUG", 8, "SEP", 9, "OCT", 10, "NOV", 11, "DEC", 12, "NO")</f>
        <v>7</v>
      </c>
      <c r="E731">
        <v>2025</v>
      </c>
      <c r="F731" t="s">
        <v>303</v>
      </c>
      <c r="G731">
        <f t="shared" si="34"/>
        <v>19</v>
      </c>
      <c r="H731">
        <v>49</v>
      </c>
      <c r="I731" t="s">
        <v>84</v>
      </c>
      <c r="J731">
        <v>2000</v>
      </c>
      <c r="K731" t="s">
        <v>1917</v>
      </c>
      <c r="L731" t="s">
        <v>1918</v>
      </c>
      <c r="M731" t="str">
        <f t="shared" si="35"/>
        <v>Saturday</v>
      </c>
    </row>
    <row r="732" spans="1:13" x14ac:dyDescent="0.3">
      <c r="A732" s="4">
        <f t="shared" si="33"/>
        <v>45857</v>
      </c>
      <c r="B732">
        <v>19</v>
      </c>
      <c r="C732" t="s">
        <v>1886</v>
      </c>
      <c r="D732" cm="1">
        <f t="array" ref="D732">_xlfn.SWITCH(C732, "JAN", 1, "FEB", 2, "MAR", 3, "APR", 4,"MAY", 5, "JUN",6, "JUL", 7, "AUG", 8, "SEP", 9, "OCT", 10, "NOV", 11, "DEC", 12, "NO")</f>
        <v>7</v>
      </c>
      <c r="E732">
        <v>2025</v>
      </c>
      <c r="F732" t="s">
        <v>1816</v>
      </c>
      <c r="G732">
        <f t="shared" si="34"/>
        <v>19</v>
      </c>
      <c r="H732">
        <v>42</v>
      </c>
      <c r="I732" t="s">
        <v>12</v>
      </c>
      <c r="J732">
        <v>1900</v>
      </c>
      <c r="K732" t="s">
        <v>1919</v>
      </c>
      <c r="L732" t="s">
        <v>1920</v>
      </c>
      <c r="M732" t="str">
        <f t="shared" si="35"/>
        <v>Saturday</v>
      </c>
    </row>
    <row r="733" spans="1:13" x14ac:dyDescent="0.3">
      <c r="A733" s="4">
        <f t="shared" si="33"/>
        <v>45857</v>
      </c>
      <c r="B733">
        <v>19</v>
      </c>
      <c r="C733" t="s">
        <v>1886</v>
      </c>
      <c r="D733" cm="1">
        <f t="array" ref="D733">_xlfn.SWITCH(C733, "JAN", 1, "FEB", 2, "MAR", 3, "APR", 4,"MAY", 5, "JUN",6, "JUL", 7, "AUG", 8, "SEP", 9, "OCT", 10, "NOV", 11, "DEC", 12, "NO")</f>
        <v>7</v>
      </c>
      <c r="E733">
        <v>2025</v>
      </c>
      <c r="F733" t="s">
        <v>655</v>
      </c>
      <c r="G733">
        <f t="shared" si="34"/>
        <v>19</v>
      </c>
      <c r="H733">
        <v>37</v>
      </c>
      <c r="I733" t="s">
        <v>12</v>
      </c>
      <c r="J733">
        <v>2000</v>
      </c>
      <c r="K733" t="s">
        <v>1921</v>
      </c>
      <c r="L733" t="s">
        <v>1922</v>
      </c>
      <c r="M733" t="str">
        <f t="shared" si="35"/>
        <v>Saturday</v>
      </c>
    </row>
    <row r="734" spans="1:13" x14ac:dyDescent="0.3">
      <c r="A734" s="4">
        <f t="shared" si="33"/>
        <v>45856</v>
      </c>
      <c r="B734">
        <v>18</v>
      </c>
      <c r="C734" t="s">
        <v>1886</v>
      </c>
      <c r="D734" cm="1">
        <f t="array" ref="D734">_xlfn.SWITCH(C734, "JAN", 1, "FEB", 2, "MAR", 3, "APR", 4,"MAY", 5, "JUN",6, "JUL", 7, "AUG", 8, "SEP", 9, "OCT", 10, "NOV", 11, "DEC", 12, "NO")</f>
        <v>7</v>
      </c>
      <c r="E734">
        <v>2025</v>
      </c>
      <c r="F734" t="s">
        <v>1923</v>
      </c>
      <c r="G734">
        <f t="shared" si="34"/>
        <v>16</v>
      </c>
      <c r="H734">
        <v>18</v>
      </c>
      <c r="I734" t="s">
        <v>84</v>
      </c>
      <c r="J734">
        <v>37</v>
      </c>
      <c r="K734" t="s">
        <v>1924</v>
      </c>
      <c r="L734" t="s">
        <v>1925</v>
      </c>
      <c r="M734" t="str">
        <f t="shared" si="35"/>
        <v>Friday</v>
      </c>
    </row>
    <row r="735" spans="1:13" x14ac:dyDescent="0.3">
      <c r="A735" s="4">
        <f t="shared" si="33"/>
        <v>45853</v>
      </c>
      <c r="B735">
        <v>15</v>
      </c>
      <c r="C735" t="s">
        <v>1886</v>
      </c>
      <c r="D735" cm="1">
        <f t="array" ref="D735">_xlfn.SWITCH(C735, "JAN", 1, "FEB", 2, "MAR", 3, "APR", 4,"MAY", 5, "JUN",6, "JUL", 7, "AUG", 8, "SEP", 9, "OCT", 10, "NOV", 11, "DEC", 12, "NO")</f>
        <v>7</v>
      </c>
      <c r="E735">
        <v>2025</v>
      </c>
      <c r="F735" t="s">
        <v>1926</v>
      </c>
      <c r="G735">
        <f t="shared" si="34"/>
        <v>8</v>
      </c>
      <c r="H735">
        <v>31</v>
      </c>
      <c r="I735" t="s">
        <v>12</v>
      </c>
      <c r="J735">
        <v>70</v>
      </c>
      <c r="K735" t="s">
        <v>1927</v>
      </c>
      <c r="L735" t="s">
        <v>1928</v>
      </c>
      <c r="M735" t="str">
        <f t="shared" si="35"/>
        <v>Tuesday</v>
      </c>
    </row>
    <row r="736" spans="1:13" x14ac:dyDescent="0.3">
      <c r="A736" s="4">
        <f t="shared" si="33"/>
        <v>45852</v>
      </c>
      <c r="B736">
        <v>14</v>
      </c>
      <c r="C736" t="s">
        <v>1886</v>
      </c>
      <c r="D736" cm="1">
        <f t="array" ref="D736">_xlfn.SWITCH(C736, "JAN", 1, "FEB", 2, "MAR", 3, "APR", 4,"MAY", 5, "JUN",6, "JUL", 7, "AUG", 8, "SEP", 9, "OCT", 10, "NOV", 11, "DEC", 12, "NO")</f>
        <v>7</v>
      </c>
      <c r="E736">
        <v>2025</v>
      </c>
      <c r="F736" t="s">
        <v>834</v>
      </c>
      <c r="G736">
        <f t="shared" si="34"/>
        <v>15</v>
      </c>
      <c r="H736">
        <v>17</v>
      </c>
      <c r="I736" t="s">
        <v>84</v>
      </c>
      <c r="J736">
        <v>140</v>
      </c>
      <c r="K736" t="s">
        <v>1929</v>
      </c>
      <c r="L736" t="s">
        <v>1930</v>
      </c>
      <c r="M736" t="str">
        <f t="shared" si="35"/>
        <v>Monday</v>
      </c>
    </row>
    <row r="737" spans="1:13" x14ac:dyDescent="0.3">
      <c r="A737" s="4">
        <f t="shared" si="33"/>
        <v>45851</v>
      </c>
      <c r="B737">
        <v>13</v>
      </c>
      <c r="C737" t="s">
        <v>1886</v>
      </c>
      <c r="D737" cm="1">
        <f t="array" ref="D737">_xlfn.SWITCH(C737, "JAN", 1, "FEB", 2, "MAR", 3, "APR", 4,"MAY", 5, "JUN",6, "JUL", 7, "AUG", 8, "SEP", 9, "OCT", 10, "NOV", 11, "DEC", 12, "NO")</f>
        <v>7</v>
      </c>
      <c r="E737">
        <v>2025</v>
      </c>
      <c r="F737" t="s">
        <v>1733</v>
      </c>
      <c r="G737">
        <f t="shared" si="34"/>
        <v>16</v>
      </c>
      <c r="H737">
        <v>35</v>
      </c>
      <c r="I737" t="s">
        <v>12</v>
      </c>
      <c r="J737">
        <v>300</v>
      </c>
      <c r="K737" t="s">
        <v>1931</v>
      </c>
      <c r="L737" t="s">
        <v>1932</v>
      </c>
      <c r="M737" t="str">
        <f t="shared" si="35"/>
        <v>Sunday</v>
      </c>
    </row>
    <row r="738" spans="1:13" x14ac:dyDescent="0.3">
      <c r="A738" s="4">
        <f t="shared" si="33"/>
        <v>45843</v>
      </c>
      <c r="B738">
        <v>5</v>
      </c>
      <c r="C738" t="s">
        <v>1886</v>
      </c>
      <c r="D738" cm="1">
        <f t="array" ref="D738">_xlfn.SWITCH(C738, "JAN", 1, "FEB", 2, "MAR", 3, "APR", 4,"MAY", 5, "JUN",6, "JUL", 7, "AUG", 8, "SEP", 9, "OCT", 10, "NOV", 11, "DEC", 12, "NO")</f>
        <v>7</v>
      </c>
      <c r="E738">
        <v>2025</v>
      </c>
      <c r="F738" t="s">
        <v>1423</v>
      </c>
      <c r="G738">
        <f t="shared" si="34"/>
        <v>14</v>
      </c>
      <c r="H738">
        <v>46</v>
      </c>
      <c r="I738" t="s">
        <v>84</v>
      </c>
      <c r="J738">
        <v>19</v>
      </c>
      <c r="K738" t="s">
        <v>1933</v>
      </c>
      <c r="L738" t="s">
        <v>1934</v>
      </c>
      <c r="M738" t="str">
        <f t="shared" si="35"/>
        <v>Saturday</v>
      </c>
    </row>
    <row r="739" spans="1:13" x14ac:dyDescent="0.3">
      <c r="A739" s="4">
        <f t="shared" si="33"/>
        <v>45830</v>
      </c>
      <c r="B739">
        <v>22</v>
      </c>
      <c r="C739" t="s">
        <v>10</v>
      </c>
      <c r="D739" cm="1">
        <f t="array" ref="D739">_xlfn.SWITCH(C739, "JAN", 1, "FEB", 2, "MAR", 3, "APR", 4,"MAY", 5, "JUN",6, "JUL", 7, "AUG", 8, "SEP", 9, "OCT", 10, "NOV", 11, "DEC", 12, "NO")</f>
        <v>6</v>
      </c>
      <c r="E739">
        <v>2025</v>
      </c>
      <c r="F739" t="s">
        <v>1935</v>
      </c>
      <c r="G739">
        <f t="shared" si="34"/>
        <v>19</v>
      </c>
      <c r="H739">
        <v>59</v>
      </c>
      <c r="I739" t="s">
        <v>84</v>
      </c>
      <c r="J739">
        <v>40</v>
      </c>
      <c r="K739" t="s">
        <v>1936</v>
      </c>
      <c r="L739" t="s">
        <v>1937</v>
      </c>
      <c r="M739" t="str">
        <f t="shared" si="35"/>
        <v>Sunday</v>
      </c>
    </row>
    <row r="740" spans="1:13" x14ac:dyDescent="0.3">
      <c r="A740" s="4">
        <f t="shared" si="33"/>
        <v>45828</v>
      </c>
      <c r="B740">
        <v>20</v>
      </c>
      <c r="C740" t="s">
        <v>10</v>
      </c>
      <c r="D740" cm="1">
        <f t="array" ref="D740">_xlfn.SWITCH(C740, "JAN", 1, "FEB", 2, "MAR", 3, "APR", 4,"MAY", 5, "JUN",6, "JUL", 7, "AUG", 8, "SEP", 9, "OCT", 10, "NOV", 11, "DEC", 12, "NO")</f>
        <v>6</v>
      </c>
      <c r="E740">
        <v>2025</v>
      </c>
      <c r="F740" t="s">
        <v>1404</v>
      </c>
      <c r="G740">
        <f t="shared" si="34"/>
        <v>19</v>
      </c>
      <c r="H740">
        <v>6</v>
      </c>
      <c r="I740" t="s">
        <v>84</v>
      </c>
      <c r="J740">
        <v>60</v>
      </c>
      <c r="K740" t="s">
        <v>1938</v>
      </c>
      <c r="L740" t="s">
        <v>1939</v>
      </c>
      <c r="M740" t="str">
        <f t="shared" si="35"/>
        <v>Friday</v>
      </c>
    </row>
    <row r="741" spans="1:13" x14ac:dyDescent="0.3">
      <c r="A741" s="4">
        <f t="shared" si="33"/>
        <v>45824</v>
      </c>
      <c r="B741">
        <v>16</v>
      </c>
      <c r="C741" t="s">
        <v>10</v>
      </c>
      <c r="D741" cm="1">
        <f t="array" ref="D741">_xlfn.SWITCH(C741, "JAN", 1, "FEB", 2, "MAR", 3, "APR", 4,"MAY", 5, "JUN",6, "JUL", 7, "AUG", 8, "SEP", 9, "OCT", 10, "NOV", 11, "DEC", 12, "NO")</f>
        <v>6</v>
      </c>
      <c r="E741">
        <v>2025</v>
      </c>
      <c r="F741" t="s">
        <v>1940</v>
      </c>
      <c r="G741">
        <f t="shared" si="34"/>
        <v>9</v>
      </c>
      <c r="H741">
        <v>52</v>
      </c>
      <c r="I741" t="s">
        <v>12</v>
      </c>
      <c r="J741">
        <v>100</v>
      </c>
      <c r="K741" t="s">
        <v>1941</v>
      </c>
      <c r="L741" t="s">
        <v>1942</v>
      </c>
      <c r="M741" t="str">
        <f t="shared" si="35"/>
        <v>Monday</v>
      </c>
    </row>
    <row r="742" spans="1:13" x14ac:dyDescent="0.3">
      <c r="A742" s="4">
        <f t="shared" si="33"/>
        <v>45821</v>
      </c>
      <c r="B742">
        <v>13</v>
      </c>
      <c r="C742" t="s">
        <v>10</v>
      </c>
      <c r="D742" cm="1">
        <f t="array" ref="D742">_xlfn.SWITCH(C742, "JAN", 1, "FEB", 2, "MAR", 3, "APR", 4,"MAY", 5, "JUN",6, "JUL", 7, "AUG", 8, "SEP", 9, "OCT", 10, "NOV", 11, "DEC", 12, "NO")</f>
        <v>6</v>
      </c>
      <c r="E742">
        <v>2025</v>
      </c>
      <c r="F742" t="s">
        <v>1943</v>
      </c>
      <c r="G742">
        <f t="shared" si="34"/>
        <v>12</v>
      </c>
      <c r="H742">
        <v>0</v>
      </c>
      <c r="I742" t="s">
        <v>84</v>
      </c>
      <c r="J742">
        <v>85</v>
      </c>
      <c r="K742" t="s">
        <v>1944</v>
      </c>
      <c r="L742" t="s">
        <v>1945</v>
      </c>
      <c r="M742" t="str">
        <f t="shared" si="35"/>
        <v>Friday</v>
      </c>
    </row>
    <row r="743" spans="1:13" x14ac:dyDescent="0.3">
      <c r="A743" s="4">
        <f t="shared" si="33"/>
        <v>45820</v>
      </c>
      <c r="B743">
        <v>12</v>
      </c>
      <c r="C743" t="s">
        <v>10</v>
      </c>
      <c r="D743" cm="1">
        <f t="array" ref="D743">_xlfn.SWITCH(C743, "JAN", 1, "FEB", 2, "MAR", 3, "APR", 4,"MAY", 5, "JUN",6, "JUL", 7, "AUG", 8, "SEP", 9, "OCT", 10, "NOV", 11, "DEC", 12, "NO")</f>
        <v>6</v>
      </c>
      <c r="E743">
        <v>2025</v>
      </c>
      <c r="F743" t="s">
        <v>593</v>
      </c>
      <c r="G743">
        <f t="shared" si="34"/>
        <v>15</v>
      </c>
      <c r="H743">
        <v>1</v>
      </c>
      <c r="I743" t="s">
        <v>84</v>
      </c>
      <c r="J743">
        <v>396</v>
      </c>
      <c r="K743" t="s">
        <v>1946</v>
      </c>
      <c r="L743" t="s">
        <v>1947</v>
      </c>
      <c r="M743" t="str">
        <f t="shared" si="35"/>
        <v>Thursday</v>
      </c>
    </row>
    <row r="744" spans="1:13" x14ac:dyDescent="0.3">
      <c r="A744" s="4">
        <f t="shared" si="33"/>
        <v>45819</v>
      </c>
      <c r="B744">
        <v>11</v>
      </c>
      <c r="C744" t="s">
        <v>10</v>
      </c>
      <c r="D744" cm="1">
        <f t="array" ref="D744">_xlfn.SWITCH(C744, "JAN", 1, "FEB", 2, "MAR", 3, "APR", 4,"MAY", 5, "JUN",6, "JUL", 7, "AUG", 8, "SEP", 9, "OCT", 10, "NOV", 11, "DEC", 12, "NO")</f>
        <v>6</v>
      </c>
      <c r="E744">
        <v>2025</v>
      </c>
      <c r="F744" t="s">
        <v>1948</v>
      </c>
      <c r="G744">
        <f t="shared" si="34"/>
        <v>14</v>
      </c>
      <c r="H744">
        <v>51</v>
      </c>
      <c r="I744" t="s">
        <v>12</v>
      </c>
      <c r="J744">
        <v>500</v>
      </c>
      <c r="K744" t="s">
        <v>1949</v>
      </c>
      <c r="L744" t="s">
        <v>1950</v>
      </c>
      <c r="M744" t="str">
        <f t="shared" si="35"/>
        <v>Wednesday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Alekhya Chittem</cp:lastModifiedBy>
  <dcterms:created xsi:type="dcterms:W3CDTF">2026-06-04T07:17:06Z</dcterms:created>
  <dcterms:modified xsi:type="dcterms:W3CDTF">2026-06-04T14:57:44Z</dcterms:modified>
</cp:coreProperties>
</file>